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draui\Downloads\Chable Hernandez David Manuel - 192H17064\Unidad II\"/>
    </mc:Choice>
  </mc:AlternateContent>
  <bookViews>
    <workbookView xWindow="0" yWindow="0" windowWidth="20490" windowHeight="7740"/>
  </bookViews>
  <sheets>
    <sheet name="Sheet1" sheetId="1" r:id="rId1"/>
  </sheets>
  <calcPr calcId="152511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" i="1" l="1"/>
  <c r="J6" i="1"/>
  <c r="K6" i="1"/>
  <c r="I7" i="1"/>
  <c r="J15" i="1"/>
  <c r="I15" i="1"/>
  <c r="H15" i="1"/>
  <c r="J20" i="1" l="1"/>
  <c r="H20" i="1"/>
  <c r="J18" i="1"/>
  <c r="H18" i="1"/>
  <c r="I8" i="1"/>
  <c r="J26" i="1" l="1"/>
  <c r="I26" i="1"/>
  <c r="J25" i="1"/>
  <c r="I25" i="1"/>
  <c r="H30" i="1" s="1" a="1"/>
  <c r="K33" i="1" l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M4" i="1" a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8" i="1"/>
  <c r="N108" i="1"/>
  <c r="O108" i="1"/>
  <c r="P108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</calcChain>
</file>

<file path=xl/sharedStrings.xml><?xml version="1.0" encoding="utf-8"?>
<sst xmlns="http://schemas.openxmlformats.org/spreadsheetml/2006/main" count="20" uniqueCount="20">
  <si>
    <t>X</t>
  </si>
  <si>
    <t>Y</t>
  </si>
  <si>
    <t>Z</t>
  </si>
  <si>
    <t>x</t>
  </si>
  <si>
    <t>y</t>
  </si>
  <si>
    <t>z</t>
  </si>
  <si>
    <t>From</t>
  </si>
  <si>
    <t>At</t>
  </si>
  <si>
    <t>Dirección</t>
  </si>
  <si>
    <t>Giro</t>
  </si>
  <si>
    <t>Elevación</t>
  </si>
  <si>
    <t>traslacion</t>
  </si>
  <si>
    <t>rotacion Y (giro)</t>
  </si>
  <si>
    <t>Rotacion X (elevacion)</t>
  </si>
  <si>
    <t>Matriz IDA</t>
  </si>
  <si>
    <t>X'</t>
  </si>
  <si>
    <t>Y'</t>
  </si>
  <si>
    <t>Z'</t>
  </si>
  <si>
    <t xml:space="preserve">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</si>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</sst>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4" borderId="0" xfId="0" applyFill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Sheet1!$M$4:$M$8</c:f>
              <c:numCache>
                <c:formatCode>General</c:formatCode>
                <c:ptCount val="5"/>
                <c:pt idx="0">
                  <c:v>-1.4142135623730954</c:v>
                </c:pt>
                <c:pt idx="1">
                  <c:v>-1.4142135623730954</c:v>
                </c:pt>
                <c:pt idx="2">
                  <c:v>4.2426406871192848</c:v>
                </c:pt>
                <c:pt idx="3">
                  <c:v>4.2426406871192848</c:v>
                </c:pt>
                <c:pt idx="4">
                  <c:v>-1.4142135623730954</c:v>
                </c:pt>
              </c:numCache>
            </c:numRef>
          </c:xVal>
          <c:yVal>
            <c:numRef>
              <c:f>Sheet1!$N$4:$N$8</c:f>
              <c:numCache>
                <c:formatCode>General</c:formatCode>
                <c:ptCount val="5"/>
                <c:pt idx="0">
                  <c:v>-1.3941676882353835</c:v>
                </c:pt>
                <c:pt idx="1">
                  <c:v>-7.4761244648404244</c:v>
                </c:pt>
                <c:pt idx="2">
                  <c:v>-3.8012229853781507</c:v>
                </c:pt>
                <c:pt idx="3">
                  <c:v>2.2807337912268899</c:v>
                </c:pt>
                <c:pt idx="4">
                  <c:v>-1.3941676882353835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59-4081-AC62-CCB1285A58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Sheet1!$M$9:$M$17</c:f>
              <c:numCache>
                <c:formatCode>General</c:formatCode>
                <c:ptCount val="9"/>
                <c:pt idx="0">
                  <c:v>-0.35355339059327395</c:v>
                </c:pt>
                <c:pt idx="1">
                  <c:v>-0.70710678118654791</c:v>
                </c:pt>
                <c:pt idx="2">
                  <c:v>-0.70710678118654791</c:v>
                </c:pt>
                <c:pt idx="3">
                  <c:v>0.35355339059327351</c:v>
                </c:pt>
                <c:pt idx="4">
                  <c:v>0.35355339059327351</c:v>
                </c:pt>
                <c:pt idx="5">
                  <c:v>-0.35355339059327395</c:v>
                </c:pt>
                <c:pt idx="6">
                  <c:v>-0.35355339059327395</c:v>
                </c:pt>
                <c:pt idx="7">
                  <c:v>-2.2204460492503131E-16</c:v>
                </c:pt>
                <c:pt idx="8">
                  <c:v>-2.2204460492503131E-16</c:v>
                </c:pt>
              </c:numCache>
            </c:numRef>
          </c:xVal>
          <c:yVal>
            <c:numRef>
              <c:f>Sheet1!$N$9:$N$17</c:f>
              <c:numCache>
                <c:formatCode>General</c:formatCode>
                <c:ptCount val="9"/>
                <c:pt idx="0">
                  <c:v>-4.1262243476765423</c:v>
                </c:pt>
                <c:pt idx="1">
                  <c:v>-4.3559056901429347</c:v>
                </c:pt>
                <c:pt idx="2">
                  <c:v>-5.1161502872185647</c:v>
                </c:pt>
                <c:pt idx="3">
                  <c:v>-4.4271062598193884</c:v>
                </c:pt>
                <c:pt idx="4">
                  <c:v>-3.6668616627437585</c:v>
                </c:pt>
                <c:pt idx="5">
                  <c:v>-4.1262243476765423</c:v>
                </c:pt>
                <c:pt idx="6">
                  <c:v>-2.6057351535252824</c:v>
                </c:pt>
                <c:pt idx="7">
                  <c:v>-2.37605381105889</c:v>
                </c:pt>
                <c:pt idx="8">
                  <c:v>-3.8965430052101504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59-4081-AC62-CCB1285A58F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Sheet1!$M$18:$M$29</c:f>
              <c:numCache>
                <c:formatCode>General</c:formatCode>
                <c:ptCount val="12"/>
                <c:pt idx="0">
                  <c:v>0.35355339059327351</c:v>
                </c:pt>
                <c:pt idx="1">
                  <c:v>0.35355339059327351</c:v>
                </c:pt>
                <c:pt idx="2">
                  <c:v>0.70710678118654746</c:v>
                </c:pt>
                <c:pt idx="3">
                  <c:v>0.70710678118654746</c:v>
                </c:pt>
                <c:pt idx="4">
                  <c:v>1.060660171779821</c:v>
                </c:pt>
                <c:pt idx="5">
                  <c:v>1.060660171779821</c:v>
                </c:pt>
                <c:pt idx="6">
                  <c:v>1.7677669529663689</c:v>
                </c:pt>
                <c:pt idx="7">
                  <c:v>1.7677669529663689</c:v>
                </c:pt>
                <c:pt idx="8">
                  <c:v>2.1213203435596424</c:v>
                </c:pt>
                <c:pt idx="9">
                  <c:v>2.1213203435596424</c:v>
                </c:pt>
                <c:pt idx="10">
                  <c:v>2.4748737341529163</c:v>
                </c:pt>
                <c:pt idx="11">
                  <c:v>2.4748737341529163</c:v>
                </c:pt>
              </c:numCache>
            </c:numRef>
          </c:xVal>
          <c:yVal>
            <c:numRef>
              <c:f>Sheet1!$N$18:$N$29</c:f>
              <c:numCache>
                <c:formatCode>General</c:formatCode>
                <c:ptCount val="12"/>
                <c:pt idx="0">
                  <c:v>-0.24576097590342294</c:v>
                </c:pt>
                <c:pt idx="1">
                  <c:v>-0.62588327444123792</c:v>
                </c:pt>
                <c:pt idx="2">
                  <c:v>-0.39620193197484599</c:v>
                </c:pt>
                <c:pt idx="3">
                  <c:v>-0.77632423051266097</c:v>
                </c:pt>
                <c:pt idx="4">
                  <c:v>-0.54664288804626859</c:v>
                </c:pt>
                <c:pt idx="5">
                  <c:v>-5.8683550675756795</c:v>
                </c:pt>
                <c:pt idx="6">
                  <c:v>-5.4089923826428956</c:v>
                </c:pt>
                <c:pt idx="7">
                  <c:v>-8.7280203113484722E-2</c:v>
                </c:pt>
                <c:pt idx="8">
                  <c:v>0.14240113935290766</c:v>
                </c:pt>
                <c:pt idx="9">
                  <c:v>0.52252343789072264</c:v>
                </c:pt>
                <c:pt idx="10">
                  <c:v>0.75220478035711458</c:v>
                </c:pt>
                <c:pt idx="11">
                  <c:v>1.1323270788949296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259-4081-AC62-CCB1285A58F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Sheet1!$M$30:$M$38</c:f>
              <c:numCache>
                <c:formatCode>General</c:formatCode>
                <c:ptCount val="9"/>
                <c:pt idx="0">
                  <c:v>2.4748737341529163</c:v>
                </c:pt>
                <c:pt idx="1">
                  <c:v>2.4748737341529163</c:v>
                </c:pt>
                <c:pt idx="2">
                  <c:v>2.8284271247461898</c:v>
                </c:pt>
                <c:pt idx="3">
                  <c:v>2.8284271247461898</c:v>
                </c:pt>
                <c:pt idx="4">
                  <c:v>3.1819805153394638</c:v>
                </c:pt>
                <c:pt idx="5">
                  <c:v>3.1819805153394638</c:v>
                </c:pt>
                <c:pt idx="6">
                  <c:v>3.5355339059327378</c:v>
                </c:pt>
                <c:pt idx="7">
                  <c:v>3.5355339059327378</c:v>
                </c:pt>
                <c:pt idx="8">
                  <c:v>2.4748737341529163</c:v>
                </c:pt>
              </c:numCache>
            </c:numRef>
          </c:xVal>
          <c:yVal>
            <c:numRef>
              <c:f>Sheet1!$N$30:$N$38</c:f>
              <c:numCache>
                <c:formatCode>General</c:formatCode>
                <c:ptCount val="9"/>
                <c:pt idx="0">
                  <c:v>-8.0398167185158353E-3</c:v>
                </c:pt>
                <c:pt idx="1">
                  <c:v>-2.288773607945406</c:v>
                </c:pt>
                <c:pt idx="2">
                  <c:v>-2.0590922654790136</c:v>
                </c:pt>
                <c:pt idx="3">
                  <c:v>-2.8193368625546436</c:v>
                </c:pt>
                <c:pt idx="4">
                  <c:v>-2.5896555200882516</c:v>
                </c:pt>
                <c:pt idx="5">
                  <c:v>-3.3499001171638816</c:v>
                </c:pt>
                <c:pt idx="6">
                  <c:v>-3.1202187746974896</c:v>
                </c:pt>
                <c:pt idx="7">
                  <c:v>0.68100421068066042</c:v>
                </c:pt>
                <c:pt idx="8">
                  <c:v>-8.0398167185158353E-3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259-4081-AC62-CCB1285A58F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Sheet1!$M$39:$M$43</c:f>
              <c:numCache>
                <c:formatCode>General</c:formatCode>
                <c:ptCount val="5"/>
                <c:pt idx="0">
                  <c:v>-7.0710678118654746</c:v>
                </c:pt>
                <c:pt idx="1">
                  <c:v>-7.0710678118654746</c:v>
                </c:pt>
                <c:pt idx="2">
                  <c:v>-1.4142135623730945</c:v>
                </c:pt>
                <c:pt idx="3">
                  <c:v>-1.4142135623730945</c:v>
                </c:pt>
                <c:pt idx="4">
                  <c:v>-7.0710678118654746</c:v>
                </c:pt>
              </c:numCache>
            </c:numRef>
          </c:xVal>
          <c:yVal>
            <c:numRef>
              <c:f>Sheet1!$N$39:$N$43</c:f>
              <c:numCache>
                <c:formatCode>General</c:formatCode>
                <c:ptCount val="5"/>
                <c:pt idx="0">
                  <c:v>2.2807337912268908</c:v>
                </c:pt>
                <c:pt idx="1">
                  <c:v>-3.8012229853781498</c:v>
                </c:pt>
                <c:pt idx="2">
                  <c:v>-0.12632150591587643</c:v>
                </c:pt>
                <c:pt idx="3">
                  <c:v>5.9556352706891644</c:v>
                </c:pt>
                <c:pt idx="4">
                  <c:v>2.2807337912268908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259-4081-AC62-CCB1285A58F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Sheet1!$M$44:$M$52</c:f>
              <c:numCache>
                <c:formatCode>General</c:formatCode>
                <c:ptCount val="9"/>
                <c:pt idx="0">
                  <c:v>-6.0104076400856536</c:v>
                </c:pt>
                <c:pt idx="1">
                  <c:v>-6.3639610306789276</c:v>
                </c:pt>
                <c:pt idx="2">
                  <c:v>-6.3639610306789276</c:v>
                </c:pt>
                <c:pt idx="3">
                  <c:v>-5.3033008588991066</c:v>
                </c:pt>
                <c:pt idx="4">
                  <c:v>-5.3033008588991066</c:v>
                </c:pt>
                <c:pt idx="5">
                  <c:v>-6.0104076400856536</c:v>
                </c:pt>
                <c:pt idx="6">
                  <c:v>-6.0104076400856536</c:v>
                </c:pt>
                <c:pt idx="7">
                  <c:v>-5.6568542494923797</c:v>
                </c:pt>
                <c:pt idx="8">
                  <c:v>-5.6568542494923797</c:v>
                </c:pt>
              </c:numCache>
            </c:numRef>
          </c:xVal>
          <c:yVal>
            <c:numRef>
              <c:f>Sheet1!$N$44:$N$52</c:f>
              <c:numCache>
                <c:formatCode>General</c:formatCode>
                <c:ptCount val="9"/>
                <c:pt idx="0">
                  <c:v>-0.45132286821426848</c:v>
                </c:pt>
                <c:pt idx="1">
                  <c:v>-0.68100421068066042</c:v>
                </c:pt>
                <c:pt idx="2">
                  <c:v>-1.4412488077562904</c:v>
                </c:pt>
                <c:pt idx="3">
                  <c:v>-0.75220478035711436</c:v>
                </c:pt>
                <c:pt idx="4">
                  <c:v>8.0398167185158353E-3</c:v>
                </c:pt>
                <c:pt idx="5">
                  <c:v>-0.45132286821426848</c:v>
                </c:pt>
                <c:pt idx="6">
                  <c:v>1.0691663259369917</c:v>
                </c:pt>
                <c:pt idx="7">
                  <c:v>1.2988476684033836</c:v>
                </c:pt>
                <c:pt idx="8">
                  <c:v>-0.22164152574787632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259-4081-AC62-CCB1285A58F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Sheet1!$M$53:$M$64</c:f>
              <c:numCache>
                <c:formatCode>General</c:formatCode>
                <c:ptCount val="12"/>
                <c:pt idx="0">
                  <c:v>-5.3033008588991066</c:v>
                </c:pt>
                <c:pt idx="1">
                  <c:v>-5.3033008588991066</c:v>
                </c:pt>
                <c:pt idx="2">
                  <c:v>-4.9497474683058318</c:v>
                </c:pt>
                <c:pt idx="3">
                  <c:v>-4.9497474683058318</c:v>
                </c:pt>
                <c:pt idx="4">
                  <c:v>-4.5961940777125587</c:v>
                </c:pt>
                <c:pt idx="5">
                  <c:v>-4.5961940777125587</c:v>
                </c:pt>
                <c:pt idx="6">
                  <c:v>-3.8890872965260108</c:v>
                </c:pt>
                <c:pt idx="7">
                  <c:v>-3.8890872965260108</c:v>
                </c:pt>
                <c:pt idx="8">
                  <c:v>-3.5355339059327373</c:v>
                </c:pt>
                <c:pt idx="9">
                  <c:v>-3.5355339059327373</c:v>
                </c:pt>
                <c:pt idx="10">
                  <c:v>-3.1819805153394634</c:v>
                </c:pt>
                <c:pt idx="11">
                  <c:v>-3.1819805153394634</c:v>
                </c:pt>
              </c:numCache>
            </c:numRef>
          </c:xVal>
          <c:yVal>
            <c:numRef>
              <c:f>Sheet1!$N$53:$N$64</c:f>
              <c:numCache>
                <c:formatCode>General</c:formatCode>
                <c:ptCount val="12"/>
                <c:pt idx="0">
                  <c:v>3.4291405035588509</c:v>
                </c:pt>
                <c:pt idx="1">
                  <c:v>3.0490182050210359</c:v>
                </c:pt>
                <c:pt idx="2">
                  <c:v>3.2786995474874283</c:v>
                </c:pt>
                <c:pt idx="3">
                  <c:v>2.8985772489496133</c:v>
                </c:pt>
                <c:pt idx="4">
                  <c:v>3.1282585914160057</c:v>
                </c:pt>
                <c:pt idx="5">
                  <c:v>-2.193453588113405</c:v>
                </c:pt>
                <c:pt idx="6">
                  <c:v>-1.7340909031806213</c:v>
                </c:pt>
                <c:pt idx="7">
                  <c:v>3.5876212763487896</c:v>
                </c:pt>
                <c:pt idx="8">
                  <c:v>3.817302618815182</c:v>
                </c:pt>
                <c:pt idx="9">
                  <c:v>4.1974249173529969</c:v>
                </c:pt>
                <c:pt idx="10">
                  <c:v>4.4271062598193884</c:v>
                </c:pt>
                <c:pt idx="11">
                  <c:v>4.8072285583572034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8259-4081-AC62-CCB1285A58F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Sheet1!$M$65:$M$73</c:f>
              <c:numCache>
                <c:formatCode>General</c:formatCode>
                <c:ptCount val="9"/>
                <c:pt idx="0">
                  <c:v>-3.1819805153394634</c:v>
                </c:pt>
                <c:pt idx="1">
                  <c:v>-3.1819805153394634</c:v>
                </c:pt>
                <c:pt idx="2">
                  <c:v>-2.8284271247461898</c:v>
                </c:pt>
                <c:pt idx="3">
                  <c:v>-2.8284271247461898</c:v>
                </c:pt>
                <c:pt idx="4">
                  <c:v>-2.4748737341529159</c:v>
                </c:pt>
                <c:pt idx="5">
                  <c:v>-2.4748737341529159</c:v>
                </c:pt>
                <c:pt idx="6">
                  <c:v>-2.1213203435596419</c:v>
                </c:pt>
                <c:pt idx="7">
                  <c:v>-2.1213203435596419</c:v>
                </c:pt>
                <c:pt idx="8">
                  <c:v>-3.1819805153394634</c:v>
                </c:pt>
              </c:numCache>
            </c:numRef>
          </c:xVal>
          <c:yVal>
            <c:numRef>
              <c:f>Sheet1!$N$65:$N$73</c:f>
              <c:numCache>
                <c:formatCode>General</c:formatCode>
                <c:ptCount val="9"/>
                <c:pt idx="0">
                  <c:v>3.6668616627437585</c:v>
                </c:pt>
                <c:pt idx="1">
                  <c:v>1.3861278715168681</c:v>
                </c:pt>
                <c:pt idx="2">
                  <c:v>1.6158092139832605</c:v>
                </c:pt>
                <c:pt idx="3">
                  <c:v>0.8555646169076303</c:v>
                </c:pt>
                <c:pt idx="4">
                  <c:v>1.0852459593740225</c:v>
                </c:pt>
                <c:pt idx="5">
                  <c:v>0.32500136229839249</c:v>
                </c:pt>
                <c:pt idx="6">
                  <c:v>0.55468270476478443</c:v>
                </c:pt>
                <c:pt idx="7">
                  <c:v>4.3559056901429347</c:v>
                </c:pt>
                <c:pt idx="8">
                  <c:v>3.6668616627437585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8259-4081-AC62-CCB1285A58F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Sheet1!$M$74:$M$85</c:f>
              <c:numCache>
                <c:formatCode>General</c:formatCode>
                <c:ptCount val="12"/>
                <c:pt idx="0">
                  <c:v>0.35355339059327417</c:v>
                </c:pt>
                <c:pt idx="1">
                  <c:v>0.35355339059327417</c:v>
                </c:pt>
                <c:pt idx="2">
                  <c:v>0.70710678118654791</c:v>
                </c:pt>
                <c:pt idx="3">
                  <c:v>0.70710678118654791</c:v>
                </c:pt>
                <c:pt idx="4">
                  <c:v>1.0606601717798219</c:v>
                </c:pt>
                <c:pt idx="5">
                  <c:v>1.0606601717798219</c:v>
                </c:pt>
                <c:pt idx="6">
                  <c:v>1.7677669529663689</c:v>
                </c:pt>
                <c:pt idx="7">
                  <c:v>1.7677669529663689</c:v>
                </c:pt>
                <c:pt idx="8">
                  <c:v>2.1213203435596428</c:v>
                </c:pt>
                <c:pt idx="9">
                  <c:v>2.1213203435596428</c:v>
                </c:pt>
                <c:pt idx="10">
                  <c:v>2.4748737341529168</c:v>
                </c:pt>
                <c:pt idx="11">
                  <c:v>2.4748737341529168</c:v>
                </c:pt>
              </c:numCache>
            </c:numRef>
          </c:xVal>
          <c:yVal>
            <c:numRef>
              <c:f>Sheet1!$N$74:$N$85</c:f>
              <c:numCache>
                <c:formatCode>General</c:formatCode>
                <c:ptCount val="12"/>
                <c:pt idx="0">
                  <c:v>4.8072285583572034</c:v>
                </c:pt>
                <c:pt idx="1">
                  <c:v>4.4271062598193884</c:v>
                </c:pt>
                <c:pt idx="2">
                  <c:v>4.1974249173529961</c:v>
                </c:pt>
                <c:pt idx="3">
                  <c:v>3.8173026188151811</c:v>
                </c:pt>
                <c:pt idx="4">
                  <c:v>3.5876212763487896</c:v>
                </c:pt>
                <c:pt idx="5">
                  <c:v>-1.7340909031806213</c:v>
                </c:pt>
                <c:pt idx="6">
                  <c:v>-2.1934535881134058</c:v>
                </c:pt>
                <c:pt idx="7">
                  <c:v>3.1282585914160053</c:v>
                </c:pt>
                <c:pt idx="8">
                  <c:v>2.8985772489496129</c:v>
                </c:pt>
                <c:pt idx="9">
                  <c:v>3.2786995474874283</c:v>
                </c:pt>
                <c:pt idx="10">
                  <c:v>3.0490182050210359</c:v>
                </c:pt>
                <c:pt idx="11">
                  <c:v>3.4291405035588509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8259-4081-AC62-CCB1285A58F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Sheet1!$M$86:$M$97</c:f>
              <c:numCache>
                <c:formatCode>General</c:formatCode>
                <c:ptCount val="12"/>
                <c:pt idx="0">
                  <c:v>-5.3033008588991066</c:v>
                </c:pt>
                <c:pt idx="1">
                  <c:v>-5.3033008588991066</c:v>
                </c:pt>
                <c:pt idx="2">
                  <c:v>-4.9497474683058327</c:v>
                </c:pt>
                <c:pt idx="3">
                  <c:v>-4.9497474683058327</c:v>
                </c:pt>
                <c:pt idx="4">
                  <c:v>-4.5961940777125587</c:v>
                </c:pt>
                <c:pt idx="5">
                  <c:v>-4.5961940777125587</c:v>
                </c:pt>
                <c:pt idx="6">
                  <c:v>-3.8890872965260117</c:v>
                </c:pt>
                <c:pt idx="7">
                  <c:v>-3.8890872965260117</c:v>
                </c:pt>
                <c:pt idx="8">
                  <c:v>-3.5355339059327378</c:v>
                </c:pt>
                <c:pt idx="9">
                  <c:v>-3.5355339059327378</c:v>
                </c:pt>
                <c:pt idx="10">
                  <c:v>-3.1819805153394638</c:v>
                </c:pt>
                <c:pt idx="11">
                  <c:v>-3.1819805153394638</c:v>
                </c:pt>
              </c:numCache>
            </c:numRef>
          </c:xVal>
          <c:yVal>
            <c:numRef>
              <c:f>Sheet1!$N$86:$N$97</c:f>
              <c:numCache>
                <c:formatCode>General</c:formatCode>
                <c:ptCount val="12"/>
                <c:pt idx="0">
                  <c:v>1.1323270788949298</c:v>
                </c:pt>
                <c:pt idx="1">
                  <c:v>0.7522047803571148</c:v>
                </c:pt>
                <c:pt idx="2">
                  <c:v>0.52252343789072286</c:v>
                </c:pt>
                <c:pt idx="3">
                  <c:v>0.14240113935290788</c:v>
                </c:pt>
                <c:pt idx="4">
                  <c:v>-8.7280203113484278E-2</c:v>
                </c:pt>
                <c:pt idx="5">
                  <c:v>-5.4089923826428947</c:v>
                </c:pt>
                <c:pt idx="6">
                  <c:v>-5.8683550675756795</c:v>
                </c:pt>
                <c:pt idx="7">
                  <c:v>-0.54664288804626859</c:v>
                </c:pt>
                <c:pt idx="8">
                  <c:v>-0.77632423051266075</c:v>
                </c:pt>
                <c:pt idx="9">
                  <c:v>-0.39620193197484571</c:v>
                </c:pt>
                <c:pt idx="10">
                  <c:v>-0.62588327444123781</c:v>
                </c:pt>
                <c:pt idx="11">
                  <c:v>-0.24576097590342283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8259-4081-AC62-CCB1285A58F5}"/>
            </c:ext>
          </c:extLst>
        </c:ser>
        <c:ser>
          <c:idx val="10"/>
          <c:order val="10"/>
          <c:tx>
            <c:strRef>
              <c:f>Sheet1!$M$98:$M$110</c:f>
              <c:strCache>
                <c:ptCount val="13"/>
                <c:pt idx="0">
                  <c:v>-0.707106781</c:v>
                </c:pt>
                <c:pt idx="1">
                  <c:v>-0.707106781</c:v>
                </c:pt>
                <c:pt idx="2">
                  <c:v>0.353553391</c:v>
                </c:pt>
                <c:pt idx="3">
                  <c:v>0.353553391</c:v>
                </c:pt>
                <c:pt idx="4">
                  <c:v>4.44089E-16</c:v>
                </c:pt>
                <c:pt idx="5">
                  <c:v>4.44089E-16</c:v>
                </c:pt>
                <c:pt idx="6">
                  <c:v>0.353553391</c:v>
                </c:pt>
                <c:pt idx="7">
                  <c:v>0.353553391</c:v>
                </c:pt>
                <c:pt idx="8">
                  <c:v>-0.707106781</c:v>
                </c:pt>
                <c:pt idx="9">
                  <c:v>-0.707106781</c:v>
                </c:pt>
                <c:pt idx="10">
                  <c:v>-0.353553391</c:v>
                </c:pt>
                <c:pt idx="11">
                  <c:v>-0.353553391</c:v>
                </c:pt>
                <c:pt idx="12">
                  <c:v>-0.707106781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Sheet1!$M$98:$M$110</c:f>
              <c:numCache>
                <c:formatCode>General</c:formatCode>
                <c:ptCount val="13"/>
                <c:pt idx="0">
                  <c:v>-0.70710678118654702</c:v>
                </c:pt>
                <c:pt idx="1">
                  <c:v>-0.70710678118654702</c:v>
                </c:pt>
                <c:pt idx="2">
                  <c:v>0.35355339059327417</c:v>
                </c:pt>
                <c:pt idx="3">
                  <c:v>0.35355339059327417</c:v>
                </c:pt>
                <c:pt idx="4">
                  <c:v>4.4408920985006262E-16</c:v>
                </c:pt>
                <c:pt idx="5">
                  <c:v>4.4408920985006262E-16</c:v>
                </c:pt>
                <c:pt idx="6">
                  <c:v>0.35355339059327417</c:v>
                </c:pt>
                <c:pt idx="7">
                  <c:v>0.35355339059327417</c:v>
                </c:pt>
                <c:pt idx="8">
                  <c:v>-0.70710678118654702</c:v>
                </c:pt>
                <c:pt idx="9">
                  <c:v>-0.70710678118654702</c:v>
                </c:pt>
                <c:pt idx="10">
                  <c:v>-0.35355339059327329</c:v>
                </c:pt>
                <c:pt idx="11">
                  <c:v>-0.35355339059327329</c:v>
                </c:pt>
                <c:pt idx="12">
                  <c:v>-0.70710678118654702</c:v>
                </c:pt>
              </c:numCache>
            </c:numRef>
          </c:xVal>
          <c:yVal>
            <c:numRef>
              <c:f>Sheet1!$N$98:$N$110</c:f>
              <c:numCache>
                <c:formatCode>General</c:formatCode>
                <c:ptCount val="13"/>
                <c:pt idx="0">
                  <c:v>3.5956610930673047</c:v>
                </c:pt>
                <c:pt idx="1">
                  <c:v>2.8354164959916748</c:v>
                </c:pt>
                <c:pt idx="2">
                  <c:v>2.1463724685924981</c:v>
                </c:pt>
                <c:pt idx="3">
                  <c:v>2.9066170656681285</c:v>
                </c:pt>
                <c:pt idx="4">
                  <c:v>3.1362984081345209</c:v>
                </c:pt>
                <c:pt idx="5">
                  <c:v>1.2356869154454455</c:v>
                </c:pt>
                <c:pt idx="6">
                  <c:v>1.0060055729790531</c:v>
                </c:pt>
                <c:pt idx="7">
                  <c:v>1.7662501700546831</c:v>
                </c:pt>
                <c:pt idx="8">
                  <c:v>2.4552941974538598</c:v>
                </c:pt>
                <c:pt idx="9">
                  <c:v>1.6950496003782298</c:v>
                </c:pt>
                <c:pt idx="10">
                  <c:v>1.4653682579118374</c:v>
                </c:pt>
                <c:pt idx="11">
                  <c:v>3.3659797506009124</c:v>
                </c:pt>
                <c:pt idx="12">
                  <c:v>3.5956610930673047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8259-4081-AC62-CCB1285A58F5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Sheet1!$M$111:$M$123</c:f>
              <c:numCache>
                <c:formatCode>General</c:formatCode>
                <c:ptCount val="13"/>
                <c:pt idx="0">
                  <c:v>-6.3639610306789276</c:v>
                </c:pt>
                <c:pt idx="1">
                  <c:v>-6.3639610306789276</c:v>
                </c:pt>
                <c:pt idx="2">
                  <c:v>-5.3033008588991066</c:v>
                </c:pt>
                <c:pt idx="3">
                  <c:v>-5.3033008588991066</c:v>
                </c:pt>
                <c:pt idx="4">
                  <c:v>-5.6568542494923806</c:v>
                </c:pt>
                <c:pt idx="5">
                  <c:v>-5.6568542494923806</c:v>
                </c:pt>
                <c:pt idx="6">
                  <c:v>-5.3033008588991066</c:v>
                </c:pt>
                <c:pt idx="7">
                  <c:v>-5.3033008588991066</c:v>
                </c:pt>
                <c:pt idx="8">
                  <c:v>-6.3639610306789276</c:v>
                </c:pt>
                <c:pt idx="9">
                  <c:v>-6.3639610306789276</c:v>
                </c:pt>
                <c:pt idx="10">
                  <c:v>-6.0104076400856536</c:v>
                </c:pt>
                <c:pt idx="11">
                  <c:v>-6.0104076400856536</c:v>
                </c:pt>
                <c:pt idx="12">
                  <c:v>-6.3639610306789276</c:v>
                </c:pt>
              </c:numCache>
            </c:numRef>
          </c:xVal>
          <c:yVal>
            <c:numRef>
              <c:f>Sheet1!$N$111:$N$123</c:f>
              <c:numCache>
                <c:formatCode>General</c:formatCode>
                <c:ptCount val="13"/>
                <c:pt idx="0">
                  <c:v>-7.9240386394968887E-2</c:v>
                </c:pt>
                <c:pt idx="1">
                  <c:v>-0.83948498347059908</c:v>
                </c:pt>
                <c:pt idx="2">
                  <c:v>-1.5285290108697756</c:v>
                </c:pt>
                <c:pt idx="3">
                  <c:v>-0.76828441379414525</c:v>
                </c:pt>
                <c:pt idx="4">
                  <c:v>-0.53860307132775309</c:v>
                </c:pt>
                <c:pt idx="5">
                  <c:v>-2.4392145640168281</c:v>
                </c:pt>
                <c:pt idx="6">
                  <c:v>-2.6688959064832205</c:v>
                </c:pt>
                <c:pt idx="7">
                  <c:v>-1.9086513094075905</c:v>
                </c:pt>
                <c:pt idx="8">
                  <c:v>-1.2196072820084141</c:v>
                </c:pt>
                <c:pt idx="9">
                  <c:v>-1.979851879084044</c:v>
                </c:pt>
                <c:pt idx="10">
                  <c:v>-2.2095332215504362</c:v>
                </c:pt>
                <c:pt idx="11">
                  <c:v>-0.30892172886136104</c:v>
                </c:pt>
                <c:pt idx="12">
                  <c:v>-7.9240386394968887E-2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8259-4081-AC62-CCB1285A58F5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Sheet1!$M$124:$M$125</c:f>
              <c:numCache>
                <c:formatCode>General</c:formatCode>
                <c:ptCount val="2"/>
                <c:pt idx="0">
                  <c:v>-1.4142135623730954</c:v>
                </c:pt>
                <c:pt idx="1">
                  <c:v>-7.0710678118654746</c:v>
                </c:pt>
              </c:numCache>
            </c:numRef>
          </c:xVal>
          <c:yVal>
            <c:numRef>
              <c:f>Sheet1!$N$124:$N$125</c:f>
              <c:numCache>
                <c:formatCode>General</c:formatCode>
                <c:ptCount val="2"/>
                <c:pt idx="0">
                  <c:v>-1.3941676882353835</c:v>
                </c:pt>
                <c:pt idx="1">
                  <c:v>2.2807337912268908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8259-4081-AC62-CCB1285A58F5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Sheet1!$M$126:$M$127</c:f>
              <c:numCache>
                <c:formatCode>General</c:formatCode>
                <c:ptCount val="2"/>
                <c:pt idx="0">
                  <c:v>-1.4142135623730954</c:v>
                </c:pt>
                <c:pt idx="1">
                  <c:v>-7.0710678118654746</c:v>
                </c:pt>
              </c:numCache>
            </c:numRef>
          </c:xVal>
          <c:yVal>
            <c:numRef>
              <c:f>Sheet1!$N$126:$N$127</c:f>
              <c:numCache>
                <c:formatCode>General</c:formatCode>
                <c:ptCount val="2"/>
                <c:pt idx="0">
                  <c:v>-7.4761244648404244</c:v>
                </c:pt>
                <c:pt idx="1">
                  <c:v>-3.8012229853781498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8259-4081-AC62-CCB1285A58F5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Sheet1!$M$128:$M$129</c:f>
              <c:numCache>
                <c:formatCode>General</c:formatCode>
                <c:ptCount val="2"/>
                <c:pt idx="0">
                  <c:v>4.2426406871192848</c:v>
                </c:pt>
                <c:pt idx="1">
                  <c:v>-1.4142135623730945</c:v>
                </c:pt>
              </c:numCache>
            </c:numRef>
          </c:xVal>
          <c:yVal>
            <c:numRef>
              <c:f>Sheet1!$N$128:$N$129</c:f>
              <c:numCache>
                <c:formatCode>General</c:formatCode>
                <c:ptCount val="2"/>
                <c:pt idx="0">
                  <c:v>2.2807337912268899</c:v>
                </c:pt>
                <c:pt idx="1">
                  <c:v>5.9556352706891644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8259-4081-AC62-CCB1285A58F5}"/>
            </c:ext>
          </c:extLst>
        </c:ser>
        <c:ser>
          <c:idx val="15"/>
          <c:order val="15"/>
          <c:tx>
            <c:strRef>
              <c:f>Sheet1!$M$130:$M$131</c:f>
              <c:strCache>
                <c:ptCount val="2"/>
                <c:pt idx="0">
                  <c:v>4.242640687</c:v>
                </c:pt>
                <c:pt idx="1">
                  <c:v>-1.414213562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Sheet1!$M$130:$M$131</c:f>
              <c:numCache>
                <c:formatCode>General</c:formatCode>
                <c:ptCount val="2"/>
                <c:pt idx="0">
                  <c:v>4.2426406871192848</c:v>
                </c:pt>
                <c:pt idx="1">
                  <c:v>-1.4142135623730945</c:v>
                </c:pt>
              </c:numCache>
            </c:numRef>
          </c:xVal>
          <c:yVal>
            <c:numRef>
              <c:f>Sheet1!$N$130:$N$131</c:f>
              <c:numCache>
                <c:formatCode>General</c:formatCode>
                <c:ptCount val="2"/>
                <c:pt idx="0">
                  <c:v>-3.8012229853781507</c:v>
                </c:pt>
                <c:pt idx="1">
                  <c:v>-0.12632150591587643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8259-4081-AC62-CCB1285A5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337952"/>
        <c:axId val="324597944"/>
      </c:scatterChart>
      <c:valAx>
        <c:axId val="324337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4597944"/>
        <c:crosses val="autoZero"/>
        <c:crossBetween val="midCat"/>
      </c:valAx>
      <c:valAx>
        <c:axId val="324597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433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28434</xdr:colOff>
      <xdr:row>2</xdr:row>
      <xdr:rowOff>34121</xdr:rowOff>
    </xdr:from>
    <xdr:to>
      <xdr:col>25</xdr:col>
      <xdr:colOff>301390</xdr:colOff>
      <xdr:row>27</xdr:row>
      <xdr:rowOff>125105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xmlns="" id="{6D9BDB3B-DD56-2636-7A47-9B1C2D6FC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G131"/>
  <sheetViews>
    <sheetView tabSelected="1" zoomScale="67" workbookViewId="0">
      <selection activeCell="AC26" sqref="AC26"/>
    </sheetView>
  </sheetViews>
  <sheetFormatPr baseColWidth="10" defaultColWidth="8.85546875" defaultRowHeight="15" x14ac:dyDescent="0.25"/>
  <cols>
    <col min="6" max="12" width="8.85546875" style="11"/>
    <col min="17" max="33" width="8.85546875" style="11"/>
  </cols>
  <sheetData>
    <row r="3" spans="2:26" x14ac:dyDescent="0.25">
      <c r="B3" s="1" t="s">
        <v>0</v>
      </c>
      <c r="C3" s="1" t="s">
        <v>1</v>
      </c>
      <c r="D3" s="1" t="s">
        <v>2</v>
      </c>
      <c r="E3" s="1">
        <v>1</v>
      </c>
      <c r="I3" s="11" t="s">
        <v>3</v>
      </c>
      <c r="J3" s="11" t="s">
        <v>4</v>
      </c>
      <c r="K3" s="11" t="s">
        <v>5</v>
      </c>
      <c r="M3" s="11" t="s">
        <v>15</v>
      </c>
      <c r="N3" s="11" t="s">
        <v>16</v>
      </c>
      <c r="O3" s="11" t="s">
        <v>17</v>
      </c>
      <c r="P3">
        <v>1</v>
      </c>
    </row>
    <row r="4" spans="2:26" x14ac:dyDescent="0.25">
      <c r="B4" s="2">
        <v>-4</v>
      </c>
      <c r="C4" s="2">
        <v>4</v>
      </c>
      <c r="D4" s="3">
        <v>4</v>
      </c>
      <c r="E4" s="3">
        <v>1</v>
      </c>
      <c r="H4" s="12" t="s">
        <v>6</v>
      </c>
      <c r="I4" s="12">
        <v>8</v>
      </c>
      <c r="J4" s="12">
        <v>8</v>
      </c>
      <c r="K4" s="12">
        <v>8</v>
      </c>
      <c r="M4" s="3">
        <f t="array" ref="M4:P131">MMULT(B4:E131,H30:K33)</f>
        <v>-1.4142135623730954</v>
      </c>
      <c r="N4" s="3">
        <v>-1.3941676882353835</v>
      </c>
      <c r="O4" s="3">
        <v>6.2495036968610869</v>
      </c>
      <c r="P4" s="3">
        <v>1</v>
      </c>
    </row>
    <row r="5" spans="2:26" x14ac:dyDescent="0.25">
      <c r="B5" s="2">
        <v>-4</v>
      </c>
      <c r="C5" s="2">
        <v>-4</v>
      </c>
      <c r="D5" s="3">
        <v>4</v>
      </c>
      <c r="E5" s="3">
        <v>1</v>
      </c>
      <c r="H5" s="12" t="s">
        <v>7</v>
      </c>
      <c r="I5" s="12">
        <v>1</v>
      </c>
      <c r="J5" s="12">
        <v>1</v>
      </c>
      <c r="K5" s="12">
        <v>1</v>
      </c>
      <c r="M5" s="3">
        <v>-1.4142135623730954</v>
      </c>
      <c r="N5" s="3">
        <v>-7.4761244648404244</v>
      </c>
      <c r="O5" s="3">
        <v>1.0524081842205875</v>
      </c>
      <c r="P5" s="3">
        <v>1</v>
      </c>
    </row>
    <row r="6" spans="2:26" x14ac:dyDescent="0.25">
      <c r="B6" s="2">
        <v>4</v>
      </c>
      <c r="C6" s="2">
        <v>-4</v>
      </c>
      <c r="D6" s="3">
        <v>4</v>
      </c>
      <c r="E6" s="3">
        <v>1</v>
      </c>
      <c r="H6" s="12" t="s">
        <v>8</v>
      </c>
      <c r="I6" s="12">
        <f>I4-I5</f>
        <v>7</v>
      </c>
      <c r="J6" s="13">
        <f>J4-J5</f>
        <v>7</v>
      </c>
      <c r="K6" s="12">
        <f>K4-K5</f>
        <v>7</v>
      </c>
      <c r="M6" s="3">
        <v>4.2426406871192848</v>
      </c>
      <c r="N6" s="3">
        <v>-3.8012229853781507</v>
      </c>
      <c r="O6" s="3">
        <v>-3.2481846954003117</v>
      </c>
      <c r="P6" s="3">
        <v>1</v>
      </c>
    </row>
    <row r="7" spans="2:26" x14ac:dyDescent="0.25">
      <c r="B7" s="2">
        <v>4</v>
      </c>
      <c r="C7" s="2">
        <v>4</v>
      </c>
      <c r="D7" s="3">
        <v>4</v>
      </c>
      <c r="E7" s="3">
        <v>1</v>
      </c>
      <c r="H7" s="12" t="s">
        <v>9</v>
      </c>
      <c r="I7" s="12">
        <f>ATAN2(I6,K6)</f>
        <v>0.78539816339744828</v>
      </c>
      <c r="J7" s="12"/>
      <c r="K7" s="12"/>
      <c r="M7" s="3">
        <v>4.2426406871192848</v>
      </c>
      <c r="N7" s="3">
        <v>2.2807337912268899</v>
      </c>
      <c r="O7" s="3">
        <v>1.9489108172401877</v>
      </c>
      <c r="P7" s="3">
        <v>1</v>
      </c>
    </row>
    <row r="8" spans="2:26" x14ac:dyDescent="0.25">
      <c r="B8" s="2">
        <v>-4</v>
      </c>
      <c r="C8" s="2">
        <v>4</v>
      </c>
      <c r="D8" s="3">
        <v>4</v>
      </c>
      <c r="E8" s="3">
        <v>1</v>
      </c>
      <c r="H8" s="12" t="s">
        <v>10</v>
      </c>
      <c r="I8" s="12">
        <f>J6/SQRT(POWER(I6,2)+POWER(K6,2))</f>
        <v>0.70710678118654757</v>
      </c>
      <c r="J8" s="12"/>
      <c r="K8" s="12"/>
      <c r="M8" s="3">
        <v>-1.4142135623730954</v>
      </c>
      <c r="N8" s="3">
        <v>-1.3941676882353835</v>
      </c>
      <c r="O8" s="3">
        <v>6.2495036968610869</v>
      </c>
      <c r="P8" s="3">
        <v>1</v>
      </c>
    </row>
    <row r="9" spans="2:26" x14ac:dyDescent="0.25">
      <c r="B9" s="4">
        <v>-2.5</v>
      </c>
      <c r="C9" s="4">
        <v>-0.5</v>
      </c>
      <c r="D9">
        <v>4</v>
      </c>
      <c r="E9">
        <v>1</v>
      </c>
      <c r="M9">
        <v>-0.35355339059327395</v>
      </c>
      <c r="N9">
        <v>-4.1262243476765423</v>
      </c>
      <c r="O9">
        <v>2.5197763060718876</v>
      </c>
      <c r="P9">
        <v>1</v>
      </c>
    </row>
    <row r="10" spans="2:26" x14ac:dyDescent="0.25">
      <c r="B10" s="4">
        <v>-3</v>
      </c>
      <c r="C10" s="4">
        <v>-0.5</v>
      </c>
      <c r="D10">
        <v>4</v>
      </c>
      <c r="E10">
        <v>1</v>
      </c>
      <c r="M10">
        <v>-0.70710678118654791</v>
      </c>
      <c r="N10">
        <v>-4.3559056901429347</v>
      </c>
      <c r="O10">
        <v>2.7885633610481935</v>
      </c>
      <c r="P10">
        <v>1</v>
      </c>
    </row>
    <row r="11" spans="2:26" x14ac:dyDescent="0.25">
      <c r="B11" s="4">
        <v>-3</v>
      </c>
      <c r="C11" s="4">
        <v>-1.5</v>
      </c>
      <c r="D11">
        <v>4</v>
      </c>
      <c r="E11">
        <v>1</v>
      </c>
      <c r="H11" s="16" t="s">
        <v>11</v>
      </c>
      <c r="I11" s="16"/>
      <c r="J11" s="16"/>
      <c r="K11" s="16"/>
      <c r="M11">
        <v>-0.70710678118654791</v>
      </c>
      <c r="N11">
        <v>-5.1161502872185647</v>
      </c>
      <c r="O11">
        <v>2.1389264219681312</v>
      </c>
      <c r="P11">
        <v>1</v>
      </c>
    </row>
    <row r="12" spans="2:26" x14ac:dyDescent="0.25">
      <c r="B12" s="4">
        <v>-1.5</v>
      </c>
      <c r="C12" s="4">
        <v>-1.5</v>
      </c>
      <c r="D12">
        <v>4</v>
      </c>
      <c r="E12">
        <v>1</v>
      </c>
      <c r="H12" s="12">
        <v>1</v>
      </c>
      <c r="I12" s="12">
        <v>0</v>
      </c>
      <c r="J12" s="12">
        <v>0</v>
      </c>
      <c r="K12" s="12">
        <v>0</v>
      </c>
      <c r="M12">
        <v>0.35355339059327351</v>
      </c>
      <c r="N12">
        <v>-4.4271062598193884</v>
      </c>
      <c r="O12">
        <v>1.3325652570392124</v>
      </c>
      <c r="P12">
        <v>1</v>
      </c>
    </row>
    <row r="13" spans="2:26" x14ac:dyDescent="0.25">
      <c r="B13" s="4">
        <v>-1.5</v>
      </c>
      <c r="C13" s="4">
        <v>-0.5</v>
      </c>
      <c r="D13">
        <v>4</v>
      </c>
      <c r="E13">
        <v>1</v>
      </c>
      <c r="H13" s="12">
        <v>0</v>
      </c>
      <c r="I13" s="14">
        <v>1</v>
      </c>
      <c r="J13" s="14">
        <v>0</v>
      </c>
      <c r="K13" s="14">
        <v>0</v>
      </c>
      <c r="M13">
        <v>0.35355339059327351</v>
      </c>
      <c r="N13">
        <v>-3.6668616627437585</v>
      </c>
      <c r="O13">
        <v>1.9822021961192751</v>
      </c>
      <c r="P13">
        <v>1</v>
      </c>
    </row>
    <row r="14" spans="2:26" x14ac:dyDescent="0.25">
      <c r="B14" s="4">
        <v>-2.5</v>
      </c>
      <c r="C14" s="4">
        <v>-0.5</v>
      </c>
      <c r="D14">
        <v>4</v>
      </c>
      <c r="E14">
        <v>1</v>
      </c>
      <c r="H14" s="12">
        <v>0</v>
      </c>
      <c r="I14" s="12">
        <v>0</v>
      </c>
      <c r="J14" s="12">
        <v>1</v>
      </c>
      <c r="K14" s="12">
        <v>0</v>
      </c>
      <c r="M14">
        <v>-0.35355339059327395</v>
      </c>
      <c r="N14">
        <v>-4.1262243476765423</v>
      </c>
      <c r="O14">
        <v>2.5197763060718876</v>
      </c>
      <c r="P14">
        <v>1</v>
      </c>
      <c r="Z14" s="11" t="s">
        <v>18</v>
      </c>
    </row>
    <row r="15" spans="2:26" x14ac:dyDescent="0.25">
      <c r="B15" s="4">
        <v>-2.5</v>
      </c>
      <c r="C15" s="4">
        <v>1.5</v>
      </c>
      <c r="D15">
        <v>4</v>
      </c>
      <c r="E15">
        <v>1</v>
      </c>
      <c r="H15" s="14">
        <f>-I5</f>
        <v>-1</v>
      </c>
      <c r="I15" s="14">
        <f>-J5</f>
        <v>-1</v>
      </c>
      <c r="J15" s="14">
        <f>-K5</f>
        <v>-1</v>
      </c>
      <c r="K15" s="14">
        <v>1</v>
      </c>
      <c r="M15">
        <v>-0.35355339059327395</v>
      </c>
      <c r="N15">
        <v>-2.6057351535252824</v>
      </c>
      <c r="O15">
        <v>3.8190501842320126</v>
      </c>
      <c r="P15">
        <v>1</v>
      </c>
    </row>
    <row r="16" spans="2:26" x14ac:dyDescent="0.25">
      <c r="B16" s="4">
        <v>-2</v>
      </c>
      <c r="C16" s="4">
        <v>1.5</v>
      </c>
      <c r="D16">
        <v>4</v>
      </c>
      <c r="E16">
        <v>1</v>
      </c>
      <c r="M16">
        <v>-2.2204460492503131E-16</v>
      </c>
      <c r="N16">
        <v>-2.37605381105889</v>
      </c>
      <c r="O16">
        <v>3.5502631292557059</v>
      </c>
      <c r="P16">
        <v>1</v>
      </c>
    </row>
    <row r="17" spans="2:28" x14ac:dyDescent="0.25">
      <c r="B17" s="4">
        <v>-2</v>
      </c>
      <c r="C17" s="4">
        <v>-0.5</v>
      </c>
      <c r="D17">
        <v>4</v>
      </c>
      <c r="E17">
        <v>1</v>
      </c>
      <c r="H17" s="17" t="s">
        <v>12</v>
      </c>
      <c r="I17" s="17"/>
      <c r="J17" s="17"/>
      <c r="K17" s="17"/>
      <c r="M17">
        <v>-2.2204460492503131E-16</v>
      </c>
      <c r="N17">
        <v>-3.8965430052101504</v>
      </c>
      <c r="O17">
        <v>2.2509892510955813</v>
      </c>
      <c r="P17">
        <v>1</v>
      </c>
      <c r="AB17" s="11" t="s">
        <v>19</v>
      </c>
    </row>
    <row r="18" spans="2:28" x14ac:dyDescent="0.25">
      <c r="B18" s="5">
        <v>-1.5</v>
      </c>
      <c r="C18" s="5">
        <v>4</v>
      </c>
      <c r="D18" s="3">
        <v>4</v>
      </c>
      <c r="E18" s="3">
        <v>1</v>
      </c>
      <c r="H18" s="15">
        <f>COS(I7)</f>
        <v>0.70710678118654757</v>
      </c>
      <c r="I18" s="15">
        <v>0</v>
      </c>
      <c r="J18" s="11">
        <f>-SIN(I7)</f>
        <v>-0.70710678118654746</v>
      </c>
      <c r="K18" s="11">
        <v>0</v>
      </c>
      <c r="M18" s="3">
        <v>0.35355339059327351</v>
      </c>
      <c r="N18" s="3">
        <v>-0.24576097590342294</v>
      </c>
      <c r="O18" s="3">
        <v>4.9055684219795559</v>
      </c>
      <c r="P18" s="3">
        <v>1</v>
      </c>
    </row>
    <row r="19" spans="2:28" x14ac:dyDescent="0.25">
      <c r="B19" s="5">
        <v>-1.5</v>
      </c>
      <c r="C19" s="5">
        <v>3.5</v>
      </c>
      <c r="D19" s="3">
        <v>4</v>
      </c>
      <c r="E19" s="3">
        <v>1</v>
      </c>
      <c r="H19" s="15">
        <v>0</v>
      </c>
      <c r="I19" s="11">
        <v>1</v>
      </c>
      <c r="J19" s="11">
        <v>0</v>
      </c>
      <c r="K19" s="11">
        <v>0</v>
      </c>
      <c r="M19" s="3">
        <v>0.35355339059327351</v>
      </c>
      <c r="N19" s="3">
        <v>-0.62588327444123792</v>
      </c>
      <c r="O19" s="3">
        <v>4.5807499524395245</v>
      </c>
      <c r="P19" s="3">
        <v>1</v>
      </c>
    </row>
    <row r="20" spans="2:28" x14ac:dyDescent="0.25">
      <c r="B20" s="5">
        <v>-1</v>
      </c>
      <c r="C20" s="5">
        <v>3.5</v>
      </c>
      <c r="D20" s="3">
        <v>4</v>
      </c>
      <c r="E20" s="3">
        <v>1</v>
      </c>
      <c r="H20" s="11">
        <f>SIN(I7)</f>
        <v>0.70710678118654746</v>
      </c>
      <c r="I20" s="11">
        <v>0</v>
      </c>
      <c r="J20" s="11">
        <f>COS(I7)</f>
        <v>0.70710678118654757</v>
      </c>
      <c r="K20" s="11">
        <v>0</v>
      </c>
      <c r="M20" s="3">
        <v>0.70710678118654746</v>
      </c>
      <c r="N20" s="3">
        <v>-0.39620193197484599</v>
      </c>
      <c r="O20" s="3">
        <v>4.3119628974632187</v>
      </c>
      <c r="P20" s="3">
        <v>1</v>
      </c>
    </row>
    <row r="21" spans="2:28" x14ac:dyDescent="0.25">
      <c r="B21" s="5">
        <v>-1</v>
      </c>
      <c r="C21" s="5">
        <v>3</v>
      </c>
      <c r="D21" s="3">
        <v>4</v>
      </c>
      <c r="E21" s="3">
        <v>1</v>
      </c>
      <c r="H21" s="15">
        <v>0</v>
      </c>
      <c r="I21" s="11">
        <v>0</v>
      </c>
      <c r="J21" s="11">
        <v>0</v>
      </c>
      <c r="K21" s="11">
        <v>1</v>
      </c>
      <c r="M21" s="3">
        <v>0.70710678118654746</v>
      </c>
      <c r="N21" s="3">
        <v>-0.77632423051266097</v>
      </c>
      <c r="O21" s="3">
        <v>3.9871444279231874</v>
      </c>
      <c r="P21" s="3">
        <v>1</v>
      </c>
    </row>
    <row r="22" spans="2:28" x14ac:dyDescent="0.25">
      <c r="B22" s="5">
        <v>-0.5</v>
      </c>
      <c r="C22" s="5">
        <v>3</v>
      </c>
      <c r="D22" s="3">
        <v>4</v>
      </c>
      <c r="E22" s="3">
        <v>1</v>
      </c>
      <c r="M22" s="3">
        <v>1.060660171779821</v>
      </c>
      <c r="N22" s="3">
        <v>-0.54664288804626859</v>
      </c>
      <c r="O22" s="3">
        <v>3.7183573729468815</v>
      </c>
      <c r="P22" s="3">
        <v>1</v>
      </c>
    </row>
    <row r="23" spans="2:28" x14ac:dyDescent="0.25">
      <c r="B23" s="5">
        <v>-0.5</v>
      </c>
      <c r="C23" s="5">
        <v>-4</v>
      </c>
      <c r="D23" s="3">
        <v>4</v>
      </c>
      <c r="E23" s="3">
        <v>1</v>
      </c>
      <c r="H23" s="18" t="s">
        <v>13</v>
      </c>
      <c r="I23" s="18"/>
      <c r="J23" s="18"/>
      <c r="K23" s="18"/>
      <c r="M23" s="3">
        <v>1.060660171779821</v>
      </c>
      <c r="N23" s="3">
        <v>-5.8683550675756795</v>
      </c>
      <c r="O23" s="3">
        <v>-0.82910120061355597</v>
      </c>
      <c r="P23" s="3">
        <v>1</v>
      </c>
    </row>
    <row r="24" spans="2:28" x14ac:dyDescent="0.25">
      <c r="B24" s="5">
        <v>0.5</v>
      </c>
      <c r="C24" s="5">
        <v>-4</v>
      </c>
      <c r="D24" s="3">
        <v>4</v>
      </c>
      <c r="E24" s="3">
        <v>1</v>
      </c>
      <c r="H24" s="12">
        <v>1</v>
      </c>
      <c r="I24" s="12">
        <v>0</v>
      </c>
      <c r="J24" s="12">
        <v>0</v>
      </c>
      <c r="K24" s="12">
        <v>0</v>
      </c>
      <c r="M24" s="3">
        <v>1.7677669529663689</v>
      </c>
      <c r="N24" s="3">
        <v>-5.4089923826428956</v>
      </c>
      <c r="O24" s="3">
        <v>-1.3666753105661686</v>
      </c>
      <c r="P24" s="3">
        <v>1</v>
      </c>
    </row>
    <row r="25" spans="2:28" x14ac:dyDescent="0.25">
      <c r="B25" s="5">
        <v>0.5</v>
      </c>
      <c r="C25" s="5">
        <v>3</v>
      </c>
      <c r="D25" s="3">
        <v>4</v>
      </c>
      <c r="E25" s="3">
        <v>1</v>
      </c>
      <c r="H25" s="12">
        <v>0</v>
      </c>
      <c r="I25" s="12">
        <f>COS(I8)</f>
        <v>0.76024459707563008</v>
      </c>
      <c r="J25" s="12">
        <f>SIN(I8)</f>
        <v>0.64963693908006248</v>
      </c>
      <c r="K25" s="12">
        <v>0</v>
      </c>
      <c r="M25" s="3">
        <v>1.7677669529663689</v>
      </c>
      <c r="N25" s="3">
        <v>-8.7280203113484722E-2</v>
      </c>
      <c r="O25" s="3">
        <v>3.1807832629942689</v>
      </c>
      <c r="P25" s="3">
        <v>1</v>
      </c>
    </row>
    <row r="26" spans="2:28" x14ac:dyDescent="0.25">
      <c r="B26" s="5">
        <v>1</v>
      </c>
      <c r="C26" s="5">
        <v>3</v>
      </c>
      <c r="D26" s="3">
        <v>4</v>
      </c>
      <c r="E26" s="3">
        <v>1</v>
      </c>
      <c r="H26" s="12">
        <v>0</v>
      </c>
      <c r="I26" s="12">
        <f>-SIN(I8)</f>
        <v>-0.64963693908006248</v>
      </c>
      <c r="J26" s="12">
        <f>COS(I8)</f>
        <v>0.76024459707563008</v>
      </c>
      <c r="K26" s="12">
        <v>0</v>
      </c>
      <c r="M26" s="3">
        <v>2.1213203435596424</v>
      </c>
      <c r="N26" s="3">
        <v>0.14240113935290766</v>
      </c>
      <c r="O26" s="3">
        <v>2.9119962080179627</v>
      </c>
      <c r="P26" s="3">
        <v>1</v>
      </c>
    </row>
    <row r="27" spans="2:28" x14ac:dyDescent="0.25">
      <c r="B27" s="5">
        <v>1</v>
      </c>
      <c r="C27" s="5">
        <v>3.5</v>
      </c>
      <c r="D27" s="3">
        <v>4</v>
      </c>
      <c r="E27" s="3">
        <v>1</v>
      </c>
      <c r="H27" s="12">
        <v>0</v>
      </c>
      <c r="I27" s="12">
        <v>0</v>
      </c>
      <c r="J27" s="12">
        <v>0</v>
      </c>
      <c r="K27" s="12">
        <v>1</v>
      </c>
      <c r="M27" s="3">
        <v>2.1213203435596424</v>
      </c>
      <c r="N27" s="3">
        <v>0.52252343789072264</v>
      </c>
      <c r="O27" s="3">
        <v>3.2368146775579936</v>
      </c>
      <c r="P27" s="3">
        <v>1</v>
      </c>
    </row>
    <row r="28" spans="2:28" x14ac:dyDescent="0.25">
      <c r="B28" s="5">
        <v>1.5</v>
      </c>
      <c r="C28" s="5">
        <v>3.5</v>
      </c>
      <c r="D28" s="3">
        <v>4</v>
      </c>
      <c r="E28" s="3">
        <v>1</v>
      </c>
      <c r="M28" s="3">
        <v>2.4748737341529163</v>
      </c>
      <c r="N28" s="3">
        <v>0.75220478035711458</v>
      </c>
      <c r="O28" s="3">
        <v>2.9680276225816877</v>
      </c>
      <c r="P28" s="3">
        <v>1</v>
      </c>
    </row>
    <row r="29" spans="2:28" x14ac:dyDescent="0.25">
      <c r="B29" s="5">
        <v>1.5</v>
      </c>
      <c r="C29" s="5">
        <v>4</v>
      </c>
      <c r="D29" s="3">
        <v>4</v>
      </c>
      <c r="E29" s="3">
        <v>1</v>
      </c>
      <c r="H29" s="18" t="s">
        <v>14</v>
      </c>
      <c r="I29" s="18"/>
      <c r="J29" s="18"/>
      <c r="K29" s="18"/>
      <c r="M29" s="3">
        <v>2.4748737341529163</v>
      </c>
      <c r="N29" s="3">
        <v>1.1323270788949296</v>
      </c>
      <c r="O29" s="3">
        <v>3.2928460921217191</v>
      </c>
      <c r="P29" s="3">
        <v>1</v>
      </c>
    </row>
    <row r="30" spans="2:28" x14ac:dyDescent="0.25">
      <c r="B30" s="6">
        <v>1.5</v>
      </c>
      <c r="C30" s="6">
        <v>2.5</v>
      </c>
      <c r="D30">
        <v>4</v>
      </c>
      <c r="E30">
        <v>1</v>
      </c>
      <c r="H30" s="14">
        <f t="array" ref="H30:K33">MMULT(MMULT(H12:K15,H18:K21),H24:K27)</f>
        <v>0.70710678118654757</v>
      </c>
      <c r="I30" s="14">
        <v>0.4593626849327842</v>
      </c>
      <c r="J30" s="14">
        <v>-0.53757410995261246</v>
      </c>
      <c r="K30" s="14">
        <v>0</v>
      </c>
      <c r="M30">
        <v>2.4748737341529163</v>
      </c>
      <c r="N30">
        <v>-8.0398167185158353E-3</v>
      </c>
      <c r="O30">
        <v>2.318390683501625</v>
      </c>
      <c r="P30">
        <v>1</v>
      </c>
    </row>
    <row r="31" spans="2:28" x14ac:dyDescent="0.25">
      <c r="B31" s="6">
        <v>1.5</v>
      </c>
      <c r="C31" s="6">
        <v>-0.5</v>
      </c>
      <c r="D31">
        <v>4</v>
      </c>
      <c r="E31">
        <v>1</v>
      </c>
      <c r="H31" s="14">
        <v>0</v>
      </c>
      <c r="I31" s="14">
        <v>0.76024459707563008</v>
      </c>
      <c r="J31" s="14">
        <v>0.64963693908006248</v>
      </c>
      <c r="K31" s="14">
        <v>0</v>
      </c>
      <c r="M31">
        <v>2.4748737341529163</v>
      </c>
      <c r="N31">
        <v>-2.288773607945406</v>
      </c>
      <c r="O31">
        <v>0.36947986626143792</v>
      </c>
      <c r="P31">
        <v>1</v>
      </c>
    </row>
    <row r="32" spans="2:28" x14ac:dyDescent="0.25">
      <c r="B32" s="6">
        <v>2</v>
      </c>
      <c r="C32" s="6">
        <v>-0.5</v>
      </c>
      <c r="D32">
        <v>4</v>
      </c>
      <c r="E32">
        <v>1</v>
      </c>
      <c r="H32" s="14">
        <v>0.70710678118654746</v>
      </c>
      <c r="I32" s="14">
        <v>-0.45936268493278426</v>
      </c>
      <c r="J32" s="14">
        <v>0.53757410995261257</v>
      </c>
      <c r="K32" s="14">
        <v>0</v>
      </c>
      <c r="M32">
        <v>2.8284271247461898</v>
      </c>
      <c r="N32">
        <v>-2.0590922654790136</v>
      </c>
      <c r="O32">
        <v>0.10069281128513163</v>
      </c>
      <c r="P32">
        <v>1</v>
      </c>
    </row>
    <row r="33" spans="2:16" x14ac:dyDescent="0.25">
      <c r="B33" s="6">
        <v>2</v>
      </c>
      <c r="C33" s="6">
        <v>-1.5</v>
      </c>
      <c r="D33">
        <v>4</v>
      </c>
      <c r="E33">
        <v>1</v>
      </c>
      <c r="H33" s="14">
        <v>-1.4142135623730949</v>
      </c>
      <c r="I33" s="14">
        <v>-0.76024459707562997</v>
      </c>
      <c r="J33" s="14">
        <v>-0.64963693908006259</v>
      </c>
      <c r="K33" s="14">
        <v>1</v>
      </c>
      <c r="M33">
        <v>2.8284271247461898</v>
      </c>
      <c r="N33">
        <v>-2.8193368625546436</v>
      </c>
      <c r="O33">
        <v>-0.54894412779493107</v>
      </c>
      <c r="P33">
        <v>1</v>
      </c>
    </row>
    <row r="34" spans="2:16" x14ac:dyDescent="0.25">
      <c r="B34" s="6">
        <v>2.5</v>
      </c>
      <c r="C34" s="6">
        <v>-1.5</v>
      </c>
      <c r="D34">
        <v>4</v>
      </c>
      <c r="E34">
        <v>1</v>
      </c>
      <c r="M34">
        <v>3.1819805153394638</v>
      </c>
      <c r="N34">
        <v>-2.5896555200882516</v>
      </c>
      <c r="O34">
        <v>-0.81773118277123735</v>
      </c>
      <c r="P34">
        <v>1</v>
      </c>
    </row>
    <row r="35" spans="2:16" x14ac:dyDescent="0.25">
      <c r="B35" s="6">
        <v>2.5</v>
      </c>
      <c r="C35" s="6">
        <v>-2.5</v>
      </c>
      <c r="D35">
        <v>4</v>
      </c>
      <c r="E35">
        <v>1</v>
      </c>
      <c r="M35">
        <v>3.1819805153394638</v>
      </c>
      <c r="N35">
        <v>-3.3499001171638816</v>
      </c>
      <c r="O35">
        <v>-1.4673681218513002</v>
      </c>
      <c r="P35">
        <v>1</v>
      </c>
    </row>
    <row r="36" spans="2:16" x14ac:dyDescent="0.25">
      <c r="B36" s="6">
        <v>3</v>
      </c>
      <c r="C36" s="6">
        <v>-2.5</v>
      </c>
      <c r="D36">
        <v>4</v>
      </c>
      <c r="E36">
        <v>1</v>
      </c>
      <c r="M36">
        <v>3.5355339059327378</v>
      </c>
      <c r="N36">
        <v>-3.1202187746974896</v>
      </c>
      <c r="O36">
        <v>-1.736155176827606</v>
      </c>
      <c r="P36">
        <v>1</v>
      </c>
    </row>
    <row r="37" spans="2:16" x14ac:dyDescent="0.25">
      <c r="B37" s="6">
        <v>3</v>
      </c>
      <c r="C37" s="6">
        <v>2.5</v>
      </c>
      <c r="D37">
        <v>4</v>
      </c>
      <c r="E37">
        <v>1</v>
      </c>
      <c r="M37">
        <v>3.5355339059327378</v>
      </c>
      <c r="N37">
        <v>0.68100421068066042</v>
      </c>
      <c r="O37">
        <v>1.5120295185727066</v>
      </c>
      <c r="P37">
        <v>1</v>
      </c>
    </row>
    <row r="38" spans="2:16" x14ac:dyDescent="0.25">
      <c r="B38" s="6">
        <v>1.5</v>
      </c>
      <c r="C38" s="6">
        <v>2.5</v>
      </c>
      <c r="D38">
        <v>4</v>
      </c>
      <c r="E38">
        <v>1</v>
      </c>
      <c r="M38">
        <v>2.4748737341529163</v>
      </c>
      <c r="N38">
        <v>-8.0398167185158353E-3</v>
      </c>
      <c r="O38">
        <v>2.318390683501625</v>
      </c>
      <c r="P38">
        <v>1</v>
      </c>
    </row>
    <row r="39" spans="2:16" x14ac:dyDescent="0.25">
      <c r="B39" s="2">
        <v>-4</v>
      </c>
      <c r="C39" s="2">
        <v>4</v>
      </c>
      <c r="D39" s="3">
        <v>-4</v>
      </c>
      <c r="E39" s="3">
        <v>1</v>
      </c>
      <c r="M39" s="3">
        <v>-7.0710678118654746</v>
      </c>
      <c r="N39" s="3">
        <v>2.2807337912268908</v>
      </c>
      <c r="O39" s="3">
        <v>1.9489108172401863</v>
      </c>
      <c r="P39" s="3">
        <v>1</v>
      </c>
    </row>
    <row r="40" spans="2:16" x14ac:dyDescent="0.25">
      <c r="B40" s="2">
        <v>-4</v>
      </c>
      <c r="C40" s="2">
        <v>-4</v>
      </c>
      <c r="D40" s="3">
        <v>-4</v>
      </c>
      <c r="E40" s="3">
        <v>1</v>
      </c>
      <c r="M40" s="3">
        <v>-7.0710678118654746</v>
      </c>
      <c r="N40" s="3">
        <v>-3.8012229853781498</v>
      </c>
      <c r="O40" s="3">
        <v>-3.2481846954003131</v>
      </c>
      <c r="P40" s="3">
        <v>1</v>
      </c>
    </row>
    <row r="41" spans="2:16" x14ac:dyDescent="0.25">
      <c r="B41" s="2">
        <v>4</v>
      </c>
      <c r="C41" s="2">
        <v>-4</v>
      </c>
      <c r="D41" s="3">
        <v>-4</v>
      </c>
      <c r="E41" s="3">
        <v>1</v>
      </c>
      <c r="M41" s="3">
        <v>-1.4142135623730945</v>
      </c>
      <c r="N41" s="3">
        <v>-0.12632150591587643</v>
      </c>
      <c r="O41" s="3">
        <v>-7.5487775750212123</v>
      </c>
      <c r="P41" s="3">
        <v>1</v>
      </c>
    </row>
    <row r="42" spans="2:16" x14ac:dyDescent="0.25">
      <c r="B42" s="2">
        <v>4</v>
      </c>
      <c r="C42" s="2">
        <v>4</v>
      </c>
      <c r="D42" s="3">
        <v>-4</v>
      </c>
      <c r="E42" s="3">
        <v>1</v>
      </c>
      <c r="M42" s="3">
        <v>-1.4142135623730945</v>
      </c>
      <c r="N42" s="3">
        <v>5.9556352706891644</v>
      </c>
      <c r="O42" s="3">
        <v>-2.3516820623807129</v>
      </c>
      <c r="P42" s="3">
        <v>1</v>
      </c>
    </row>
    <row r="43" spans="2:16" x14ac:dyDescent="0.25">
      <c r="B43" s="2">
        <v>-4</v>
      </c>
      <c r="C43" s="2">
        <v>4</v>
      </c>
      <c r="D43" s="3">
        <v>-4</v>
      </c>
      <c r="E43" s="3">
        <v>1</v>
      </c>
      <c r="M43" s="3">
        <v>-7.0710678118654746</v>
      </c>
      <c r="N43" s="3">
        <v>2.2807337912268908</v>
      </c>
      <c r="O43" s="3">
        <v>1.9489108172401863</v>
      </c>
      <c r="P43" s="3">
        <v>1</v>
      </c>
    </row>
    <row r="44" spans="2:16" x14ac:dyDescent="0.25">
      <c r="B44" s="4">
        <v>-2.5</v>
      </c>
      <c r="C44" s="4">
        <v>-0.5</v>
      </c>
      <c r="D44">
        <v>-4</v>
      </c>
      <c r="E44">
        <v>1</v>
      </c>
      <c r="M44">
        <v>-6.0104076400856536</v>
      </c>
      <c r="N44">
        <v>-0.45132286821426848</v>
      </c>
      <c r="O44">
        <v>-1.7808165735490129</v>
      </c>
      <c r="P44">
        <v>1</v>
      </c>
    </row>
    <row r="45" spans="2:16" x14ac:dyDescent="0.25">
      <c r="B45" s="4">
        <v>-3</v>
      </c>
      <c r="C45" s="4">
        <v>-0.5</v>
      </c>
      <c r="D45">
        <v>-4</v>
      </c>
      <c r="E45">
        <v>1</v>
      </c>
      <c r="M45">
        <v>-6.3639610306789276</v>
      </c>
      <c r="N45">
        <v>-0.68100421068066042</v>
      </c>
      <c r="O45">
        <v>-1.5120295185727071</v>
      </c>
      <c r="P45">
        <v>1</v>
      </c>
    </row>
    <row r="46" spans="2:16" x14ac:dyDescent="0.25">
      <c r="B46" s="4">
        <v>-3</v>
      </c>
      <c r="C46" s="4">
        <v>-1.5</v>
      </c>
      <c r="D46">
        <v>-4</v>
      </c>
      <c r="E46">
        <v>1</v>
      </c>
      <c r="M46">
        <v>-6.3639610306789276</v>
      </c>
      <c r="N46">
        <v>-1.4412488077562904</v>
      </c>
      <c r="O46">
        <v>-2.1616664576527693</v>
      </c>
      <c r="P46">
        <v>1</v>
      </c>
    </row>
    <row r="47" spans="2:16" x14ac:dyDescent="0.25">
      <c r="B47" s="4">
        <v>-1.5</v>
      </c>
      <c r="C47" s="4">
        <v>-1.5</v>
      </c>
      <c r="D47">
        <v>-4</v>
      </c>
      <c r="E47">
        <v>1</v>
      </c>
      <c r="M47">
        <v>-5.3033008588991066</v>
      </c>
      <c r="N47">
        <v>-0.75220478035711436</v>
      </c>
      <c r="O47">
        <v>-2.9680276225816882</v>
      </c>
      <c r="P47">
        <v>1</v>
      </c>
    </row>
    <row r="48" spans="2:16" x14ac:dyDescent="0.25">
      <c r="B48" s="4">
        <v>-1.5</v>
      </c>
      <c r="C48" s="4">
        <v>-0.5</v>
      </c>
      <c r="D48">
        <v>-4</v>
      </c>
      <c r="E48">
        <v>1</v>
      </c>
      <c r="M48">
        <v>-5.3033008588991066</v>
      </c>
      <c r="N48">
        <v>8.0398167185158353E-3</v>
      </c>
      <c r="O48">
        <v>-2.3183906835016255</v>
      </c>
      <c r="P48">
        <v>1</v>
      </c>
    </row>
    <row r="49" spans="2:16" x14ac:dyDescent="0.25">
      <c r="B49" s="4">
        <v>-2.5</v>
      </c>
      <c r="C49" s="4">
        <v>-0.5</v>
      </c>
      <c r="D49">
        <v>-4</v>
      </c>
      <c r="E49">
        <v>1</v>
      </c>
      <c r="M49">
        <v>-6.0104076400856536</v>
      </c>
      <c r="N49">
        <v>-0.45132286821426848</v>
      </c>
      <c r="O49">
        <v>-1.7808165735490129</v>
      </c>
      <c r="P49">
        <v>1</v>
      </c>
    </row>
    <row r="50" spans="2:16" x14ac:dyDescent="0.25">
      <c r="B50" s="4">
        <v>-2.5</v>
      </c>
      <c r="C50" s="4">
        <v>1.5</v>
      </c>
      <c r="D50">
        <v>-4</v>
      </c>
      <c r="E50">
        <v>1</v>
      </c>
      <c r="M50">
        <v>-6.0104076400856536</v>
      </c>
      <c r="N50">
        <v>1.0691663259369917</v>
      </c>
      <c r="O50">
        <v>-0.48154269538888783</v>
      </c>
      <c r="P50">
        <v>1</v>
      </c>
    </row>
    <row r="51" spans="2:16" x14ac:dyDescent="0.25">
      <c r="B51" s="4">
        <v>-2</v>
      </c>
      <c r="C51" s="4">
        <v>1.5</v>
      </c>
      <c r="D51">
        <v>-4</v>
      </c>
      <c r="E51">
        <v>1</v>
      </c>
      <c r="M51">
        <v>-5.6568542494923797</v>
      </c>
      <c r="N51">
        <v>1.2988476684033836</v>
      </c>
      <c r="O51">
        <v>-0.75032975036519411</v>
      </c>
      <c r="P51">
        <v>1</v>
      </c>
    </row>
    <row r="52" spans="2:16" x14ac:dyDescent="0.25">
      <c r="B52" s="4">
        <v>-2</v>
      </c>
      <c r="C52" s="4">
        <v>-0.5</v>
      </c>
      <c r="D52">
        <v>-4</v>
      </c>
      <c r="E52">
        <v>1</v>
      </c>
      <c r="M52">
        <v>-5.6568542494923797</v>
      </c>
      <c r="N52">
        <v>-0.22164152574787632</v>
      </c>
      <c r="O52">
        <v>-2.0496036285253192</v>
      </c>
      <c r="P52">
        <v>1</v>
      </c>
    </row>
    <row r="53" spans="2:16" x14ac:dyDescent="0.25">
      <c r="B53" s="5">
        <v>-1.5</v>
      </c>
      <c r="C53" s="5">
        <v>4</v>
      </c>
      <c r="D53" s="3">
        <v>-4</v>
      </c>
      <c r="E53" s="3">
        <v>1</v>
      </c>
      <c r="M53" s="3">
        <v>-5.3033008588991066</v>
      </c>
      <c r="N53" s="3">
        <v>3.4291405035588509</v>
      </c>
      <c r="O53" s="3">
        <v>0.60497554235865547</v>
      </c>
      <c r="P53" s="3">
        <v>1</v>
      </c>
    </row>
    <row r="54" spans="2:16" x14ac:dyDescent="0.25">
      <c r="B54" s="5">
        <v>-1.5</v>
      </c>
      <c r="C54" s="5">
        <v>3.5</v>
      </c>
      <c r="D54" s="3">
        <v>-4</v>
      </c>
      <c r="E54" s="3">
        <v>1</v>
      </c>
      <c r="M54" s="3">
        <v>-5.3033008588991066</v>
      </c>
      <c r="N54" s="3">
        <v>3.0490182050210359</v>
      </c>
      <c r="O54" s="3">
        <v>0.28015707281862412</v>
      </c>
      <c r="P54" s="3">
        <v>1</v>
      </c>
    </row>
    <row r="55" spans="2:16" x14ac:dyDescent="0.25">
      <c r="B55" s="5">
        <v>-1</v>
      </c>
      <c r="C55" s="5">
        <v>3.5</v>
      </c>
      <c r="D55" s="3">
        <v>-4</v>
      </c>
      <c r="E55" s="3">
        <v>1</v>
      </c>
      <c r="M55" s="3">
        <v>-4.9497474683058318</v>
      </c>
      <c r="N55" s="3">
        <v>3.2786995474874283</v>
      </c>
      <c r="O55" s="3">
        <v>1.1370017842318281E-2</v>
      </c>
      <c r="P55" s="3">
        <v>1</v>
      </c>
    </row>
    <row r="56" spans="2:16" x14ac:dyDescent="0.25">
      <c r="B56" s="5">
        <v>-1</v>
      </c>
      <c r="C56" s="5">
        <v>3</v>
      </c>
      <c r="D56" s="3">
        <v>-4</v>
      </c>
      <c r="E56" s="3">
        <v>1</v>
      </c>
      <c r="M56" s="3">
        <v>-4.9497474683058318</v>
      </c>
      <c r="N56" s="3">
        <v>2.8985772489496133</v>
      </c>
      <c r="O56" s="3">
        <v>-0.31344845169771307</v>
      </c>
      <c r="P56" s="3">
        <v>1</v>
      </c>
    </row>
    <row r="57" spans="2:16" x14ac:dyDescent="0.25">
      <c r="B57" s="5">
        <v>-0.5</v>
      </c>
      <c r="C57" s="5">
        <v>3</v>
      </c>
      <c r="D57" s="3">
        <v>-4</v>
      </c>
      <c r="E57" s="3">
        <v>1</v>
      </c>
      <c r="M57" s="3">
        <v>-4.5961940777125587</v>
      </c>
      <c r="N57" s="3">
        <v>3.1282585914160057</v>
      </c>
      <c r="O57" s="3">
        <v>-0.58223550667401935</v>
      </c>
      <c r="P57" s="3">
        <v>1</v>
      </c>
    </row>
    <row r="58" spans="2:16" x14ac:dyDescent="0.25">
      <c r="B58" s="5">
        <v>-0.5</v>
      </c>
      <c r="C58" s="5">
        <v>-4</v>
      </c>
      <c r="D58" s="3">
        <v>-4</v>
      </c>
      <c r="E58" s="3">
        <v>1</v>
      </c>
      <c r="M58" s="3">
        <v>-4.5961940777125587</v>
      </c>
      <c r="N58" s="3">
        <v>-2.193453588113405</v>
      </c>
      <c r="O58" s="3">
        <v>-5.1296940802344562</v>
      </c>
      <c r="P58" s="3">
        <v>1</v>
      </c>
    </row>
    <row r="59" spans="2:16" x14ac:dyDescent="0.25">
      <c r="B59" s="5">
        <v>0.5</v>
      </c>
      <c r="C59" s="5">
        <v>-4</v>
      </c>
      <c r="D59" s="3">
        <v>-4</v>
      </c>
      <c r="E59" s="3">
        <v>1</v>
      </c>
      <c r="M59" s="3">
        <v>-3.8890872965260108</v>
      </c>
      <c r="N59" s="3">
        <v>-1.7340909031806213</v>
      </c>
      <c r="O59" s="3">
        <v>-5.6672681901870696</v>
      </c>
      <c r="P59" s="3">
        <v>1</v>
      </c>
    </row>
    <row r="60" spans="2:16" x14ac:dyDescent="0.25">
      <c r="B60" s="5">
        <v>0.5</v>
      </c>
      <c r="C60" s="5">
        <v>3</v>
      </c>
      <c r="D60" s="3">
        <v>-4</v>
      </c>
      <c r="E60" s="3">
        <v>1</v>
      </c>
      <c r="M60" s="3">
        <v>-3.8890872965260108</v>
      </c>
      <c r="N60" s="3">
        <v>3.5876212763487896</v>
      </c>
      <c r="O60" s="3">
        <v>-1.1198096166266316</v>
      </c>
      <c r="P60" s="3">
        <v>1</v>
      </c>
    </row>
    <row r="61" spans="2:16" x14ac:dyDescent="0.25">
      <c r="B61" s="5">
        <v>1</v>
      </c>
      <c r="C61" s="5">
        <v>3</v>
      </c>
      <c r="D61" s="3">
        <v>-4</v>
      </c>
      <c r="E61" s="3">
        <v>1</v>
      </c>
      <c r="M61" s="3">
        <v>-3.5355339059327373</v>
      </c>
      <c r="N61" s="3">
        <v>3.817302618815182</v>
      </c>
      <c r="O61" s="3">
        <v>-1.3885966716029379</v>
      </c>
      <c r="P61" s="3">
        <v>1</v>
      </c>
    </row>
    <row r="62" spans="2:16" x14ac:dyDescent="0.25">
      <c r="B62" s="5">
        <v>1</v>
      </c>
      <c r="C62" s="5">
        <v>3.5</v>
      </c>
      <c r="D62" s="3">
        <v>-4</v>
      </c>
      <c r="E62" s="3">
        <v>1</v>
      </c>
      <c r="M62" s="3">
        <v>-3.5355339059327373</v>
      </c>
      <c r="N62" s="3">
        <v>4.1974249173529969</v>
      </c>
      <c r="O62" s="3">
        <v>-1.063778202062907</v>
      </c>
      <c r="P62" s="3">
        <v>1</v>
      </c>
    </row>
    <row r="63" spans="2:16" x14ac:dyDescent="0.25">
      <c r="B63" s="5">
        <v>1.5</v>
      </c>
      <c r="C63" s="5">
        <v>3.5</v>
      </c>
      <c r="D63" s="3">
        <v>-4</v>
      </c>
      <c r="E63" s="3">
        <v>1</v>
      </c>
      <c r="M63" s="3">
        <v>-3.1819805153394634</v>
      </c>
      <c r="N63" s="3">
        <v>4.4271062598193884</v>
      </c>
      <c r="O63" s="3">
        <v>-1.3325652570392128</v>
      </c>
      <c r="P63" s="3">
        <v>1</v>
      </c>
    </row>
    <row r="64" spans="2:16" x14ac:dyDescent="0.25">
      <c r="B64" s="5">
        <v>1.5</v>
      </c>
      <c r="C64" s="5">
        <v>4</v>
      </c>
      <c r="D64" s="3">
        <v>-4</v>
      </c>
      <c r="E64" s="3">
        <v>1</v>
      </c>
      <c r="M64" s="3">
        <v>-3.1819805153394634</v>
      </c>
      <c r="N64" s="3">
        <v>4.8072285583572034</v>
      </c>
      <c r="O64" s="3">
        <v>-1.0077467874991815</v>
      </c>
      <c r="P64" s="3">
        <v>1</v>
      </c>
    </row>
    <row r="65" spans="2:16" x14ac:dyDescent="0.25">
      <c r="B65" s="6">
        <v>1.5</v>
      </c>
      <c r="C65" s="6">
        <v>2.5</v>
      </c>
      <c r="D65">
        <v>-4</v>
      </c>
      <c r="E65">
        <v>1</v>
      </c>
      <c r="M65">
        <v>-3.1819805153394634</v>
      </c>
      <c r="N65">
        <v>3.6668616627437585</v>
      </c>
      <c r="O65">
        <v>-1.9822021961192751</v>
      </c>
      <c r="P65">
        <v>1</v>
      </c>
    </row>
    <row r="66" spans="2:16" x14ac:dyDescent="0.25">
      <c r="B66" s="6">
        <v>1.5</v>
      </c>
      <c r="C66" s="6">
        <v>-0.5</v>
      </c>
      <c r="D66">
        <v>-4</v>
      </c>
      <c r="E66">
        <v>1</v>
      </c>
      <c r="M66">
        <v>-3.1819805153394634</v>
      </c>
      <c r="N66">
        <v>1.3861278715168681</v>
      </c>
      <c r="O66">
        <v>-3.9311130133594627</v>
      </c>
      <c r="P66">
        <v>1</v>
      </c>
    </row>
    <row r="67" spans="2:16" x14ac:dyDescent="0.25">
      <c r="B67" s="6">
        <v>2</v>
      </c>
      <c r="C67" s="6">
        <v>-0.5</v>
      </c>
      <c r="D67">
        <v>-4</v>
      </c>
      <c r="E67">
        <v>1</v>
      </c>
      <c r="M67">
        <v>-2.8284271247461898</v>
      </c>
      <c r="N67">
        <v>1.6158092139832605</v>
      </c>
      <c r="O67">
        <v>-4.1999000683357686</v>
      </c>
      <c r="P67">
        <v>1</v>
      </c>
    </row>
    <row r="68" spans="2:16" x14ac:dyDescent="0.25">
      <c r="B68" s="6">
        <v>2</v>
      </c>
      <c r="C68" s="6">
        <v>-1.5</v>
      </c>
      <c r="D68">
        <v>-4</v>
      </c>
      <c r="E68">
        <v>1</v>
      </c>
      <c r="M68">
        <v>-2.8284271247461898</v>
      </c>
      <c r="N68">
        <v>0.8555646169076303</v>
      </c>
      <c r="O68">
        <v>-4.8495370074158313</v>
      </c>
      <c r="P68">
        <v>1</v>
      </c>
    </row>
    <row r="69" spans="2:16" x14ac:dyDescent="0.25">
      <c r="B69" s="6">
        <v>2.5</v>
      </c>
      <c r="C69" s="6">
        <v>-1.5</v>
      </c>
      <c r="D69">
        <v>-4</v>
      </c>
      <c r="E69">
        <v>1</v>
      </c>
      <c r="M69">
        <v>-2.4748737341529159</v>
      </c>
      <c r="N69">
        <v>1.0852459593740225</v>
      </c>
      <c r="O69">
        <v>-5.118324062392138</v>
      </c>
      <c r="P69">
        <v>1</v>
      </c>
    </row>
    <row r="70" spans="2:16" x14ac:dyDescent="0.25">
      <c r="B70" s="6">
        <v>2.5</v>
      </c>
      <c r="C70" s="6">
        <v>-2.5</v>
      </c>
      <c r="D70">
        <v>-4</v>
      </c>
      <c r="E70">
        <v>1</v>
      </c>
      <c r="M70">
        <v>-2.4748737341529159</v>
      </c>
      <c r="N70">
        <v>0.32500136229839249</v>
      </c>
      <c r="O70">
        <v>-5.7679610014722007</v>
      </c>
      <c r="P70">
        <v>1</v>
      </c>
    </row>
    <row r="71" spans="2:16" x14ac:dyDescent="0.25">
      <c r="B71" s="6">
        <v>3</v>
      </c>
      <c r="C71" s="6">
        <v>-2.5</v>
      </c>
      <c r="D71">
        <v>-4</v>
      </c>
      <c r="E71">
        <v>1</v>
      </c>
      <c r="M71">
        <v>-2.1213203435596419</v>
      </c>
      <c r="N71">
        <v>0.55468270476478443</v>
      </c>
      <c r="O71">
        <v>-6.0367480564485065</v>
      </c>
      <c r="P71">
        <v>1</v>
      </c>
    </row>
    <row r="72" spans="2:16" x14ac:dyDescent="0.25">
      <c r="B72" s="6">
        <v>3</v>
      </c>
      <c r="C72" s="6">
        <v>2.5</v>
      </c>
      <c r="D72">
        <v>-4</v>
      </c>
      <c r="E72">
        <v>1</v>
      </c>
      <c r="M72">
        <v>-2.1213203435596419</v>
      </c>
      <c r="N72">
        <v>4.3559056901429347</v>
      </c>
      <c r="O72">
        <v>-2.7885633610481939</v>
      </c>
      <c r="P72">
        <v>1</v>
      </c>
    </row>
    <row r="73" spans="2:16" x14ac:dyDescent="0.25">
      <c r="B73" s="6">
        <v>1.5</v>
      </c>
      <c r="C73" s="6">
        <v>2.5</v>
      </c>
      <c r="D73">
        <v>-4</v>
      </c>
      <c r="E73">
        <v>1</v>
      </c>
      <c r="M73">
        <v>-3.1819805153394634</v>
      </c>
      <c r="N73">
        <v>3.6668616627437585</v>
      </c>
      <c r="O73">
        <v>-1.9822021961192751</v>
      </c>
      <c r="P73">
        <v>1</v>
      </c>
    </row>
    <row r="74" spans="2:16" x14ac:dyDescent="0.25">
      <c r="B74" s="5">
        <v>4</v>
      </c>
      <c r="C74" s="5">
        <v>4</v>
      </c>
      <c r="D74" s="5">
        <v>-1.5</v>
      </c>
      <c r="E74" s="3">
        <v>1</v>
      </c>
      <c r="M74" s="3">
        <v>0.35355339059327417</v>
      </c>
      <c r="N74" s="3">
        <v>4.8072285583572034</v>
      </c>
      <c r="O74" s="3">
        <v>-1.0077467874991815</v>
      </c>
      <c r="P74" s="3">
        <v>1</v>
      </c>
    </row>
    <row r="75" spans="2:16" x14ac:dyDescent="0.25">
      <c r="B75" s="5">
        <v>4</v>
      </c>
      <c r="C75" s="5">
        <v>3.5</v>
      </c>
      <c r="D75" s="5">
        <v>-1.5</v>
      </c>
      <c r="E75" s="3">
        <v>1</v>
      </c>
      <c r="M75" s="3">
        <v>0.35355339059327417</v>
      </c>
      <c r="N75" s="3">
        <v>4.4271062598193884</v>
      </c>
      <c r="O75" s="3">
        <v>-1.3325652570392128</v>
      </c>
      <c r="P75" s="3">
        <v>1</v>
      </c>
    </row>
    <row r="76" spans="2:16" x14ac:dyDescent="0.25">
      <c r="B76" s="5">
        <v>4</v>
      </c>
      <c r="C76" s="5">
        <v>3.5</v>
      </c>
      <c r="D76" s="5">
        <v>-1</v>
      </c>
      <c r="E76" s="3">
        <v>1</v>
      </c>
      <c r="M76" s="3">
        <v>0.70710678118654791</v>
      </c>
      <c r="N76" s="3">
        <v>4.1974249173529961</v>
      </c>
      <c r="O76" s="3">
        <v>-1.0637782020629065</v>
      </c>
      <c r="P76" s="3">
        <v>1</v>
      </c>
    </row>
    <row r="77" spans="2:16" x14ac:dyDescent="0.25">
      <c r="B77" s="5">
        <v>4</v>
      </c>
      <c r="C77" s="5">
        <v>3</v>
      </c>
      <c r="D77" s="5">
        <v>-1</v>
      </c>
      <c r="E77" s="3">
        <v>1</v>
      </c>
      <c r="M77" s="3">
        <v>0.70710678118654791</v>
      </c>
      <c r="N77" s="3">
        <v>3.8173026188151811</v>
      </c>
      <c r="O77" s="3">
        <v>-1.3885966716029374</v>
      </c>
      <c r="P77" s="3">
        <v>1</v>
      </c>
    </row>
    <row r="78" spans="2:16" x14ac:dyDescent="0.25">
      <c r="B78" s="5">
        <v>4</v>
      </c>
      <c r="C78" s="5">
        <v>3</v>
      </c>
      <c r="D78" s="5">
        <v>-0.5</v>
      </c>
      <c r="E78" s="3">
        <v>1</v>
      </c>
      <c r="M78" s="3">
        <v>1.0606601717798219</v>
      </c>
      <c r="N78" s="3">
        <v>3.5876212763487896</v>
      </c>
      <c r="O78" s="3">
        <v>-1.1198096166266311</v>
      </c>
      <c r="P78" s="3">
        <v>1</v>
      </c>
    </row>
    <row r="79" spans="2:16" x14ac:dyDescent="0.25">
      <c r="B79" s="5">
        <v>4</v>
      </c>
      <c r="C79" s="5">
        <v>-4</v>
      </c>
      <c r="D79" s="5">
        <v>-0.5</v>
      </c>
      <c r="E79" s="3">
        <v>1</v>
      </c>
      <c r="M79" s="3">
        <v>1.0606601717798219</v>
      </c>
      <c r="N79" s="3">
        <v>-1.7340909031806213</v>
      </c>
      <c r="O79" s="3">
        <v>-5.6672681901870678</v>
      </c>
      <c r="P79" s="3">
        <v>1</v>
      </c>
    </row>
    <row r="80" spans="2:16" x14ac:dyDescent="0.25">
      <c r="B80" s="5">
        <v>4</v>
      </c>
      <c r="C80" s="5">
        <v>-4</v>
      </c>
      <c r="D80" s="5">
        <v>0.5</v>
      </c>
      <c r="E80" s="3">
        <v>1</v>
      </c>
      <c r="M80" s="3">
        <v>1.7677669529663689</v>
      </c>
      <c r="N80" s="3">
        <v>-2.1934535881134058</v>
      </c>
      <c r="O80" s="3">
        <v>-5.1296940802344562</v>
      </c>
      <c r="P80" s="3">
        <v>1</v>
      </c>
    </row>
    <row r="81" spans="2:16" x14ac:dyDescent="0.25">
      <c r="B81" s="5">
        <v>4</v>
      </c>
      <c r="C81" s="5">
        <v>3</v>
      </c>
      <c r="D81" s="5">
        <v>0.5</v>
      </c>
      <c r="E81" s="3">
        <v>1</v>
      </c>
      <c r="M81" s="3">
        <v>1.7677669529663689</v>
      </c>
      <c r="N81" s="3">
        <v>3.1282585914160053</v>
      </c>
      <c r="O81" s="3">
        <v>-0.58223550667401869</v>
      </c>
      <c r="P81" s="3">
        <v>1</v>
      </c>
    </row>
    <row r="82" spans="2:16" x14ac:dyDescent="0.25">
      <c r="B82" s="5">
        <v>4</v>
      </c>
      <c r="C82" s="5">
        <v>3</v>
      </c>
      <c r="D82" s="5">
        <v>1</v>
      </c>
      <c r="E82" s="3">
        <v>1</v>
      </c>
      <c r="M82" s="3">
        <v>2.1213203435596428</v>
      </c>
      <c r="N82" s="3">
        <v>2.8985772489496129</v>
      </c>
      <c r="O82" s="3">
        <v>-0.3134484516977124</v>
      </c>
      <c r="P82" s="3">
        <v>1</v>
      </c>
    </row>
    <row r="83" spans="2:16" x14ac:dyDescent="0.25">
      <c r="B83" s="5">
        <v>4</v>
      </c>
      <c r="C83" s="5">
        <v>3.5</v>
      </c>
      <c r="D83" s="5">
        <v>1</v>
      </c>
      <c r="E83" s="3">
        <v>1</v>
      </c>
      <c r="M83" s="3">
        <v>2.1213203435596428</v>
      </c>
      <c r="N83" s="3">
        <v>3.2786995474874283</v>
      </c>
      <c r="O83" s="3">
        <v>1.1370017842318725E-2</v>
      </c>
      <c r="P83" s="3">
        <v>1</v>
      </c>
    </row>
    <row r="84" spans="2:16" x14ac:dyDescent="0.25">
      <c r="B84" s="5">
        <v>4</v>
      </c>
      <c r="C84" s="5">
        <v>3.5</v>
      </c>
      <c r="D84" s="5">
        <v>1.5</v>
      </c>
      <c r="E84" s="3">
        <v>1</v>
      </c>
      <c r="M84" s="3">
        <v>2.4748737341529168</v>
      </c>
      <c r="N84" s="3">
        <v>3.0490182050210359</v>
      </c>
      <c r="O84" s="3">
        <v>0.28015707281862501</v>
      </c>
      <c r="P84" s="3">
        <v>1</v>
      </c>
    </row>
    <row r="85" spans="2:16" x14ac:dyDescent="0.25">
      <c r="B85" s="5">
        <v>4</v>
      </c>
      <c r="C85" s="5">
        <v>4</v>
      </c>
      <c r="D85" s="5">
        <v>1.5</v>
      </c>
      <c r="E85" s="3">
        <v>1</v>
      </c>
      <c r="M85" s="3">
        <v>2.4748737341529168</v>
      </c>
      <c r="N85" s="3">
        <v>3.4291405035588509</v>
      </c>
      <c r="O85" s="3">
        <v>0.60497554235865636</v>
      </c>
      <c r="P85" s="3">
        <v>1</v>
      </c>
    </row>
    <row r="86" spans="2:16" x14ac:dyDescent="0.25">
      <c r="B86" s="7">
        <v>-4</v>
      </c>
      <c r="C86" s="7">
        <v>4</v>
      </c>
      <c r="D86" s="7">
        <v>-1.5</v>
      </c>
      <c r="E86">
        <v>1</v>
      </c>
      <c r="M86">
        <v>-5.3033008588991066</v>
      </c>
      <c r="N86">
        <v>1.1323270788949298</v>
      </c>
      <c r="O86">
        <v>3.2928460921217177</v>
      </c>
      <c r="P86">
        <v>1</v>
      </c>
    </row>
    <row r="87" spans="2:16" x14ac:dyDescent="0.25">
      <c r="B87" s="7">
        <v>-4</v>
      </c>
      <c r="C87" s="7">
        <v>3.5</v>
      </c>
      <c r="D87" s="7">
        <v>-1.5</v>
      </c>
      <c r="E87">
        <v>1</v>
      </c>
      <c r="M87">
        <v>-5.3033008588991066</v>
      </c>
      <c r="N87">
        <v>0.7522047803571148</v>
      </c>
      <c r="O87">
        <v>2.9680276225816873</v>
      </c>
      <c r="P87">
        <v>1</v>
      </c>
    </row>
    <row r="88" spans="2:16" x14ac:dyDescent="0.25">
      <c r="B88" s="7">
        <v>-4</v>
      </c>
      <c r="C88" s="7">
        <v>3.5</v>
      </c>
      <c r="D88" s="7">
        <v>-1</v>
      </c>
      <c r="E88">
        <v>1</v>
      </c>
      <c r="M88">
        <v>-4.9497474683058327</v>
      </c>
      <c r="N88">
        <v>0.52252343789072286</v>
      </c>
      <c r="O88">
        <v>3.2368146775579936</v>
      </c>
      <c r="P88">
        <v>1</v>
      </c>
    </row>
    <row r="89" spans="2:16" x14ac:dyDescent="0.25">
      <c r="B89" s="7">
        <v>-4</v>
      </c>
      <c r="C89" s="7">
        <v>3</v>
      </c>
      <c r="D89" s="7">
        <v>-1</v>
      </c>
      <c r="E89">
        <v>1</v>
      </c>
      <c r="M89">
        <v>-4.9497474683058327</v>
      </c>
      <c r="N89">
        <v>0.14240113935290788</v>
      </c>
      <c r="O89">
        <v>2.9119962080179622</v>
      </c>
      <c r="P89">
        <v>1</v>
      </c>
    </row>
    <row r="90" spans="2:16" x14ac:dyDescent="0.25">
      <c r="B90" s="7">
        <v>-4</v>
      </c>
      <c r="C90" s="7">
        <v>3</v>
      </c>
      <c r="D90" s="7">
        <v>-0.5</v>
      </c>
      <c r="E90">
        <v>1</v>
      </c>
      <c r="M90">
        <v>-4.5961940777125587</v>
      </c>
      <c r="N90">
        <v>-8.7280203113484278E-2</v>
      </c>
      <c r="O90">
        <v>3.1807832629942685</v>
      </c>
      <c r="P90">
        <v>1</v>
      </c>
    </row>
    <row r="91" spans="2:16" x14ac:dyDescent="0.25">
      <c r="B91" s="7">
        <v>-4</v>
      </c>
      <c r="C91" s="7">
        <v>-4</v>
      </c>
      <c r="D91" s="7">
        <v>-0.5</v>
      </c>
      <c r="E91">
        <v>1</v>
      </c>
      <c r="M91">
        <v>-4.5961940777125587</v>
      </c>
      <c r="N91">
        <v>-5.4089923826428947</v>
      </c>
      <c r="O91">
        <v>-1.3666753105661691</v>
      </c>
      <c r="P91">
        <v>1</v>
      </c>
    </row>
    <row r="92" spans="2:16" x14ac:dyDescent="0.25">
      <c r="B92" s="7">
        <v>-4</v>
      </c>
      <c r="C92" s="7">
        <v>-4</v>
      </c>
      <c r="D92" s="7">
        <v>0.5</v>
      </c>
      <c r="E92">
        <v>1</v>
      </c>
      <c r="M92">
        <v>-3.8890872965260117</v>
      </c>
      <c r="N92">
        <v>-5.8683550675756795</v>
      </c>
      <c r="O92">
        <v>-0.82910120061355641</v>
      </c>
      <c r="P92">
        <v>1</v>
      </c>
    </row>
    <row r="93" spans="2:16" x14ac:dyDescent="0.25">
      <c r="B93" s="7">
        <v>-4</v>
      </c>
      <c r="C93" s="7">
        <v>3</v>
      </c>
      <c r="D93" s="7">
        <v>0.5</v>
      </c>
      <c r="E93">
        <v>1</v>
      </c>
      <c r="M93">
        <v>-3.8890872965260117</v>
      </c>
      <c r="N93">
        <v>-0.54664288804626859</v>
      </c>
      <c r="O93">
        <v>3.7183573729468815</v>
      </c>
      <c r="P93">
        <v>1</v>
      </c>
    </row>
    <row r="94" spans="2:16" x14ac:dyDescent="0.25">
      <c r="B94" s="7">
        <v>-4</v>
      </c>
      <c r="C94" s="7">
        <v>3</v>
      </c>
      <c r="D94" s="7">
        <v>1</v>
      </c>
      <c r="E94">
        <v>1</v>
      </c>
      <c r="M94">
        <v>-3.5355339059327378</v>
      </c>
      <c r="N94">
        <v>-0.77632423051266075</v>
      </c>
      <c r="O94">
        <v>3.9871444279231874</v>
      </c>
      <c r="P94">
        <v>1</v>
      </c>
    </row>
    <row r="95" spans="2:16" x14ac:dyDescent="0.25">
      <c r="B95" s="7">
        <v>-4</v>
      </c>
      <c r="C95" s="7">
        <v>3.5</v>
      </c>
      <c r="D95" s="7">
        <v>1</v>
      </c>
      <c r="E95">
        <v>1</v>
      </c>
      <c r="M95">
        <v>-3.5355339059327378</v>
      </c>
      <c r="N95">
        <v>-0.39620193197484571</v>
      </c>
      <c r="O95">
        <v>4.3119628974632187</v>
      </c>
      <c r="P95">
        <v>1</v>
      </c>
    </row>
    <row r="96" spans="2:16" x14ac:dyDescent="0.25">
      <c r="B96" s="7">
        <v>-4</v>
      </c>
      <c r="C96" s="7">
        <v>3.5</v>
      </c>
      <c r="D96" s="7">
        <v>1.5</v>
      </c>
      <c r="E96">
        <v>1</v>
      </c>
      <c r="M96">
        <v>-3.1819805153394638</v>
      </c>
      <c r="N96">
        <v>-0.62588327444123781</v>
      </c>
      <c r="O96">
        <v>4.5807499524395254</v>
      </c>
      <c r="P96">
        <v>1</v>
      </c>
    </row>
    <row r="97" spans="2:16" x14ac:dyDescent="0.25">
      <c r="B97" s="7">
        <v>-4</v>
      </c>
      <c r="C97" s="7">
        <v>4</v>
      </c>
      <c r="D97" s="7">
        <v>1.5</v>
      </c>
      <c r="E97">
        <v>1</v>
      </c>
      <c r="M97">
        <v>-3.1819805153394638</v>
      </c>
      <c r="N97">
        <v>-0.24576097590342283</v>
      </c>
      <c r="O97">
        <v>4.9055684219795559</v>
      </c>
      <c r="P97">
        <v>1</v>
      </c>
    </row>
    <row r="98" spans="2:16" x14ac:dyDescent="0.25">
      <c r="B98" s="8">
        <v>4</v>
      </c>
      <c r="C98" s="8">
        <v>1.5</v>
      </c>
      <c r="D98" s="8">
        <v>-3</v>
      </c>
      <c r="E98" s="3">
        <v>1</v>
      </c>
      <c r="M98" s="3">
        <v>-0.70710678118654702</v>
      </c>
      <c r="N98" s="3">
        <v>3.5956610930673047</v>
      </c>
      <c r="O98" s="3">
        <v>-3.4382003001282566</v>
      </c>
      <c r="P98" s="3">
        <v>1</v>
      </c>
    </row>
    <row r="99" spans="2:16" x14ac:dyDescent="0.25">
      <c r="B99" s="8">
        <v>4</v>
      </c>
      <c r="C99" s="8">
        <v>0.5</v>
      </c>
      <c r="D99" s="8">
        <v>-3</v>
      </c>
      <c r="E99" s="3">
        <v>1</v>
      </c>
      <c r="M99" s="3">
        <v>-0.70710678118654702</v>
      </c>
      <c r="N99" s="3">
        <v>2.8354164959916748</v>
      </c>
      <c r="O99" s="3">
        <v>-4.0878372392083184</v>
      </c>
      <c r="P99" s="3">
        <v>1</v>
      </c>
    </row>
    <row r="100" spans="2:16" x14ac:dyDescent="0.25">
      <c r="B100" s="8">
        <v>4</v>
      </c>
      <c r="C100" s="8">
        <v>0.5</v>
      </c>
      <c r="D100" s="8">
        <v>-1.5</v>
      </c>
      <c r="E100" s="3">
        <v>1</v>
      </c>
      <c r="M100" s="3">
        <v>0.35355339059327417</v>
      </c>
      <c r="N100" s="3">
        <v>2.1463724685924981</v>
      </c>
      <c r="O100" s="3">
        <v>-3.2814760742794</v>
      </c>
      <c r="P100" s="3">
        <v>1</v>
      </c>
    </row>
    <row r="101" spans="2:16" x14ac:dyDescent="0.25">
      <c r="B101" s="8">
        <v>4</v>
      </c>
      <c r="C101" s="8">
        <v>1.5</v>
      </c>
      <c r="D101" s="8">
        <v>-1.5</v>
      </c>
      <c r="E101" s="3">
        <v>1</v>
      </c>
      <c r="M101" s="3">
        <v>0.35355339059327417</v>
      </c>
      <c r="N101" s="3">
        <v>2.9066170656681285</v>
      </c>
      <c r="O101" s="3">
        <v>-2.6318391351993378</v>
      </c>
      <c r="P101" s="3">
        <v>1</v>
      </c>
    </row>
    <row r="102" spans="2:16" x14ac:dyDescent="0.25">
      <c r="B102" s="8">
        <v>4</v>
      </c>
      <c r="C102" s="8">
        <v>1.5</v>
      </c>
      <c r="D102" s="8">
        <v>-2</v>
      </c>
      <c r="E102" s="3">
        <v>1</v>
      </c>
      <c r="M102" s="3">
        <v>4.4408920985006262E-16</v>
      </c>
      <c r="N102" s="3">
        <v>3.1362984081345209</v>
      </c>
      <c r="O102" s="3">
        <v>-2.900626190175644</v>
      </c>
      <c r="P102" s="3">
        <v>1</v>
      </c>
    </row>
    <row r="103" spans="2:16" x14ac:dyDescent="0.25">
      <c r="B103" s="8">
        <v>4</v>
      </c>
      <c r="C103" s="8">
        <v>-1</v>
      </c>
      <c r="D103" s="8">
        <v>-2</v>
      </c>
      <c r="E103" s="3">
        <v>1</v>
      </c>
      <c r="M103" s="3">
        <v>4.4408920985006262E-16</v>
      </c>
      <c r="N103" s="3">
        <v>1.2356869154454455</v>
      </c>
      <c r="O103" s="3">
        <v>-4.5247185378757999</v>
      </c>
      <c r="P103" s="3">
        <v>1</v>
      </c>
    </row>
    <row r="104" spans="2:16" x14ac:dyDescent="0.25">
      <c r="B104" s="8">
        <v>4</v>
      </c>
      <c r="C104" s="8">
        <v>-1</v>
      </c>
      <c r="D104" s="8">
        <v>-1.5</v>
      </c>
      <c r="E104" s="3">
        <v>1</v>
      </c>
      <c r="M104" s="3">
        <v>0.35355339059327417</v>
      </c>
      <c r="N104" s="3">
        <v>1.0060055729790531</v>
      </c>
      <c r="O104" s="3">
        <v>-4.2559314828994932</v>
      </c>
      <c r="P104" s="3">
        <v>1</v>
      </c>
    </row>
    <row r="105" spans="2:16" x14ac:dyDescent="0.25">
      <c r="B105" s="8">
        <v>4</v>
      </c>
      <c r="C105" s="8">
        <v>0</v>
      </c>
      <c r="D105" s="8">
        <v>-1.5</v>
      </c>
      <c r="E105" s="3">
        <v>1</v>
      </c>
      <c r="M105" s="3">
        <v>0.35355339059327417</v>
      </c>
      <c r="N105" s="3">
        <v>1.7662501700546831</v>
      </c>
      <c r="O105" s="3">
        <v>-3.6062945438194314</v>
      </c>
      <c r="P105" s="3">
        <v>1</v>
      </c>
    </row>
    <row r="106" spans="2:16" x14ac:dyDescent="0.25">
      <c r="B106" s="8">
        <v>4</v>
      </c>
      <c r="C106" s="8">
        <v>0</v>
      </c>
      <c r="D106" s="8">
        <v>-3</v>
      </c>
      <c r="E106" s="3">
        <v>1</v>
      </c>
      <c r="M106" s="3">
        <v>-0.70710678118654702</v>
      </c>
      <c r="N106" s="3">
        <v>2.4552941974538598</v>
      </c>
      <c r="O106" s="3">
        <v>-4.4126557087483498</v>
      </c>
      <c r="P106" s="3">
        <v>1</v>
      </c>
    </row>
    <row r="107" spans="2:16" x14ac:dyDescent="0.25">
      <c r="B107" s="8">
        <v>4</v>
      </c>
      <c r="C107" s="8">
        <v>-1</v>
      </c>
      <c r="D107" s="8">
        <v>-3</v>
      </c>
      <c r="E107" s="3">
        <v>1</v>
      </c>
      <c r="M107" s="3">
        <v>-0.70710678118654702</v>
      </c>
      <c r="N107" s="3">
        <v>1.6950496003782298</v>
      </c>
      <c r="O107" s="3">
        <v>-5.0622926478284125</v>
      </c>
      <c r="P107" s="3">
        <v>1</v>
      </c>
    </row>
    <row r="108" spans="2:16" x14ac:dyDescent="0.25">
      <c r="B108" s="8">
        <v>4</v>
      </c>
      <c r="C108" s="8">
        <v>-1</v>
      </c>
      <c r="D108" s="8">
        <v>-2.5</v>
      </c>
      <c r="E108" s="3">
        <v>1</v>
      </c>
      <c r="M108" s="3">
        <v>-0.35355339059327329</v>
      </c>
      <c r="N108" s="3">
        <v>1.4653682579118374</v>
      </c>
      <c r="O108" s="3">
        <v>-4.7935055928521066</v>
      </c>
      <c r="P108" s="3">
        <v>1</v>
      </c>
    </row>
    <row r="109" spans="2:16" x14ac:dyDescent="0.25">
      <c r="B109" s="8">
        <v>4</v>
      </c>
      <c r="C109" s="8">
        <v>1.5</v>
      </c>
      <c r="D109" s="8">
        <v>-2.5</v>
      </c>
      <c r="E109" s="3">
        <v>1</v>
      </c>
      <c r="M109" s="3">
        <v>-0.35355339059327329</v>
      </c>
      <c r="N109" s="3">
        <v>3.3659797506009124</v>
      </c>
      <c r="O109" s="3">
        <v>-3.1694132451519503</v>
      </c>
      <c r="P109" s="3">
        <v>1</v>
      </c>
    </row>
    <row r="110" spans="2:16" x14ac:dyDescent="0.25">
      <c r="B110" s="8">
        <v>4</v>
      </c>
      <c r="C110" s="8">
        <v>1.5</v>
      </c>
      <c r="D110" s="8">
        <v>-3</v>
      </c>
      <c r="E110" s="3">
        <v>1</v>
      </c>
      <c r="M110" s="3">
        <v>-0.70710678118654702</v>
      </c>
      <c r="N110" s="3">
        <v>3.5956610930673047</v>
      </c>
      <c r="O110" s="3">
        <v>-3.4382003001282566</v>
      </c>
      <c r="P110" s="3">
        <v>1</v>
      </c>
    </row>
    <row r="111" spans="2:16" x14ac:dyDescent="0.25">
      <c r="B111" s="9">
        <v>-4</v>
      </c>
      <c r="C111" s="9">
        <v>1.5</v>
      </c>
      <c r="D111" s="9">
        <v>-3</v>
      </c>
      <c r="E111" s="9">
        <v>1</v>
      </c>
      <c r="M111">
        <v>-6.3639610306789276</v>
      </c>
      <c r="N111">
        <v>-7.9240386394968887E-2</v>
      </c>
      <c r="O111">
        <v>0.86239257949264314</v>
      </c>
      <c r="P111">
        <v>1</v>
      </c>
    </row>
    <row r="112" spans="2:16" x14ac:dyDescent="0.25">
      <c r="B112" s="9">
        <v>-4</v>
      </c>
      <c r="C112" s="9">
        <v>0.5</v>
      </c>
      <c r="D112" s="9">
        <v>-3</v>
      </c>
      <c r="E112" s="9">
        <v>1</v>
      </c>
      <c r="M112">
        <v>-6.3639610306789276</v>
      </c>
      <c r="N112">
        <v>-0.83948498347059908</v>
      </c>
      <c r="O112">
        <v>0.21275564041258088</v>
      </c>
      <c r="P112">
        <v>1</v>
      </c>
    </row>
    <row r="113" spans="2:16" x14ac:dyDescent="0.25">
      <c r="B113" s="9">
        <v>-4</v>
      </c>
      <c r="C113" s="9">
        <v>0.5</v>
      </c>
      <c r="D113" s="9">
        <v>-1.5</v>
      </c>
      <c r="E113" s="9">
        <v>1</v>
      </c>
      <c r="M113">
        <v>-5.3033008588991066</v>
      </c>
      <c r="N113">
        <v>-1.5285290108697756</v>
      </c>
      <c r="O113">
        <v>1.0191168053414996</v>
      </c>
      <c r="P113">
        <v>1</v>
      </c>
    </row>
    <row r="114" spans="2:16" x14ac:dyDescent="0.25">
      <c r="B114" s="9">
        <v>-4</v>
      </c>
      <c r="C114" s="9">
        <v>1.5</v>
      </c>
      <c r="D114" s="9">
        <v>-1.5</v>
      </c>
      <c r="E114" s="9">
        <v>1</v>
      </c>
      <c r="M114">
        <v>-5.3033008588991066</v>
      </c>
      <c r="N114">
        <v>-0.76828441379414525</v>
      </c>
      <c r="O114">
        <v>1.6687537444215619</v>
      </c>
      <c r="P114">
        <v>1</v>
      </c>
    </row>
    <row r="115" spans="2:16" x14ac:dyDescent="0.25">
      <c r="B115" s="9">
        <v>-4</v>
      </c>
      <c r="C115" s="9">
        <v>1.5</v>
      </c>
      <c r="D115" s="9">
        <v>-2</v>
      </c>
      <c r="E115" s="9">
        <v>1</v>
      </c>
      <c r="M115">
        <v>-5.6568542494923806</v>
      </c>
      <c r="N115">
        <v>-0.53860307132775309</v>
      </c>
      <c r="O115">
        <v>1.3999666894452556</v>
      </c>
      <c r="P115">
        <v>1</v>
      </c>
    </row>
    <row r="116" spans="2:16" x14ac:dyDescent="0.25">
      <c r="B116" s="9">
        <v>-4</v>
      </c>
      <c r="C116" s="9">
        <v>-1</v>
      </c>
      <c r="D116" s="9">
        <v>-2</v>
      </c>
      <c r="E116" s="9">
        <v>1</v>
      </c>
      <c r="M116">
        <v>-5.6568542494923806</v>
      </c>
      <c r="N116">
        <v>-2.4392145640168281</v>
      </c>
      <c r="O116">
        <v>-0.22412565825490038</v>
      </c>
      <c r="P116">
        <v>1</v>
      </c>
    </row>
    <row r="117" spans="2:16" x14ac:dyDescent="0.25">
      <c r="B117" s="9">
        <v>-4</v>
      </c>
      <c r="C117" s="9">
        <v>-1</v>
      </c>
      <c r="D117" s="9">
        <v>-1.5</v>
      </c>
      <c r="E117" s="9">
        <v>1</v>
      </c>
      <c r="M117">
        <v>-5.3033008588991066</v>
      </c>
      <c r="N117">
        <v>-2.6688959064832205</v>
      </c>
      <c r="O117">
        <v>4.4661396721405899E-2</v>
      </c>
      <c r="P117">
        <v>1</v>
      </c>
    </row>
    <row r="118" spans="2:16" x14ac:dyDescent="0.25">
      <c r="B118" s="9">
        <v>-4</v>
      </c>
      <c r="C118" s="9">
        <v>0</v>
      </c>
      <c r="D118" s="9">
        <v>-1.5</v>
      </c>
      <c r="E118" s="9">
        <v>1</v>
      </c>
      <c r="M118">
        <v>-5.3033008588991066</v>
      </c>
      <c r="N118">
        <v>-1.9086513094075905</v>
      </c>
      <c r="O118">
        <v>0.69429833580146838</v>
      </c>
      <c r="P118">
        <v>1</v>
      </c>
    </row>
    <row r="119" spans="2:16" x14ac:dyDescent="0.25">
      <c r="B119" s="9">
        <v>-4</v>
      </c>
      <c r="C119" s="9">
        <v>0</v>
      </c>
      <c r="D119" s="9">
        <v>-3</v>
      </c>
      <c r="E119" s="9">
        <v>1</v>
      </c>
      <c r="M119">
        <v>-6.3639610306789276</v>
      </c>
      <c r="N119">
        <v>-1.2196072820084141</v>
      </c>
      <c r="O119">
        <v>-0.11206282912745047</v>
      </c>
      <c r="P119">
        <v>1</v>
      </c>
    </row>
    <row r="120" spans="2:16" x14ac:dyDescent="0.25">
      <c r="B120" s="9">
        <v>-4</v>
      </c>
      <c r="C120" s="9">
        <v>-1</v>
      </c>
      <c r="D120" s="9">
        <v>-3</v>
      </c>
      <c r="E120" s="9">
        <v>1</v>
      </c>
      <c r="M120">
        <v>-6.3639610306789276</v>
      </c>
      <c r="N120">
        <v>-1.979851879084044</v>
      </c>
      <c r="O120">
        <v>-0.76169976820751295</v>
      </c>
      <c r="P120">
        <v>1</v>
      </c>
    </row>
    <row r="121" spans="2:16" x14ac:dyDescent="0.25">
      <c r="B121" s="9">
        <v>-4</v>
      </c>
      <c r="C121" s="9">
        <v>-1</v>
      </c>
      <c r="D121" s="9">
        <v>-2.5</v>
      </c>
      <c r="E121" s="9">
        <v>1</v>
      </c>
      <c r="M121">
        <v>-6.0104076400856536</v>
      </c>
      <c r="N121">
        <v>-2.2095332215504362</v>
      </c>
      <c r="O121">
        <v>-0.49291271323120667</v>
      </c>
      <c r="P121">
        <v>1</v>
      </c>
    </row>
    <row r="122" spans="2:16" x14ac:dyDescent="0.25">
      <c r="B122" s="9">
        <v>-4</v>
      </c>
      <c r="C122" s="9">
        <v>1.5</v>
      </c>
      <c r="D122" s="9">
        <v>-2.5</v>
      </c>
      <c r="E122" s="9">
        <v>1</v>
      </c>
      <c r="M122">
        <v>-6.0104076400856536</v>
      </c>
      <c r="N122">
        <v>-0.30892172886136104</v>
      </c>
      <c r="O122">
        <v>1.1311796344689493</v>
      </c>
      <c r="P122">
        <v>1</v>
      </c>
    </row>
    <row r="123" spans="2:16" x14ac:dyDescent="0.25">
      <c r="B123" s="9">
        <v>-4</v>
      </c>
      <c r="C123" s="9">
        <v>1.5</v>
      </c>
      <c r="D123" s="9">
        <v>-3</v>
      </c>
      <c r="E123" s="9">
        <v>1</v>
      </c>
      <c r="M123">
        <v>-6.3639610306789276</v>
      </c>
      <c r="N123">
        <v>-7.9240386394968887E-2</v>
      </c>
      <c r="O123">
        <v>0.86239257949264314</v>
      </c>
      <c r="P123">
        <v>1</v>
      </c>
    </row>
    <row r="124" spans="2:16" x14ac:dyDescent="0.25">
      <c r="B124" s="2">
        <v>-4</v>
      </c>
      <c r="C124" s="2">
        <v>4</v>
      </c>
      <c r="D124" s="3">
        <v>4</v>
      </c>
      <c r="E124" s="3">
        <v>1</v>
      </c>
      <c r="M124" s="3">
        <v>-1.4142135623730954</v>
      </c>
      <c r="N124" s="3">
        <v>-1.3941676882353835</v>
      </c>
      <c r="O124" s="3">
        <v>6.2495036968610869</v>
      </c>
      <c r="P124" s="3">
        <v>1</v>
      </c>
    </row>
    <row r="125" spans="2:16" x14ac:dyDescent="0.25">
      <c r="B125" s="2">
        <v>-4</v>
      </c>
      <c r="C125" s="2">
        <v>4</v>
      </c>
      <c r="D125" s="3">
        <v>-4</v>
      </c>
      <c r="E125" s="3">
        <v>1</v>
      </c>
      <c r="M125" s="3">
        <v>-7.0710678118654746</v>
      </c>
      <c r="N125" s="3">
        <v>2.2807337912268908</v>
      </c>
      <c r="O125" s="3">
        <v>1.9489108172401863</v>
      </c>
      <c r="P125" s="3">
        <v>1</v>
      </c>
    </row>
    <row r="126" spans="2:16" x14ac:dyDescent="0.25">
      <c r="B126" s="9">
        <v>-4</v>
      </c>
      <c r="C126" s="9">
        <v>-4</v>
      </c>
      <c r="D126" s="9">
        <v>4</v>
      </c>
      <c r="E126" s="9">
        <v>1</v>
      </c>
      <c r="M126">
        <v>-1.4142135623730954</v>
      </c>
      <c r="N126">
        <v>-7.4761244648404244</v>
      </c>
      <c r="O126">
        <v>1.0524081842205875</v>
      </c>
      <c r="P126">
        <v>1</v>
      </c>
    </row>
    <row r="127" spans="2:16" x14ac:dyDescent="0.25">
      <c r="B127" s="9">
        <v>-4</v>
      </c>
      <c r="C127" s="9">
        <v>-4</v>
      </c>
      <c r="D127" s="9">
        <v>-4</v>
      </c>
      <c r="E127" s="9">
        <v>1</v>
      </c>
      <c r="M127">
        <v>-7.0710678118654746</v>
      </c>
      <c r="N127">
        <v>-3.8012229853781498</v>
      </c>
      <c r="O127">
        <v>-3.2481846954003131</v>
      </c>
      <c r="P127">
        <v>1</v>
      </c>
    </row>
    <row r="128" spans="2:16" x14ac:dyDescent="0.25">
      <c r="B128" s="8">
        <v>4</v>
      </c>
      <c r="C128" s="8">
        <v>4</v>
      </c>
      <c r="D128" s="8">
        <v>4</v>
      </c>
      <c r="E128" s="8">
        <v>1</v>
      </c>
      <c r="M128" s="3">
        <v>4.2426406871192848</v>
      </c>
      <c r="N128" s="3">
        <v>2.2807337912268899</v>
      </c>
      <c r="O128" s="3">
        <v>1.9489108172401877</v>
      </c>
      <c r="P128" s="3">
        <v>1</v>
      </c>
    </row>
    <row r="129" spans="2:16" x14ac:dyDescent="0.25">
      <c r="B129" s="3">
        <v>4</v>
      </c>
      <c r="C129" s="3">
        <v>4</v>
      </c>
      <c r="D129" s="3">
        <v>-4</v>
      </c>
      <c r="E129" s="8">
        <v>1</v>
      </c>
      <c r="M129" s="3">
        <v>-1.4142135623730945</v>
      </c>
      <c r="N129" s="3">
        <v>5.9556352706891644</v>
      </c>
      <c r="O129" s="3">
        <v>-2.3516820623807129</v>
      </c>
      <c r="P129" s="3">
        <v>1</v>
      </c>
    </row>
    <row r="130" spans="2:16" x14ac:dyDescent="0.25">
      <c r="B130" s="10">
        <v>4</v>
      </c>
      <c r="C130" s="10">
        <v>-4</v>
      </c>
      <c r="D130" s="10">
        <v>4</v>
      </c>
      <c r="E130" s="9">
        <v>1</v>
      </c>
      <c r="M130">
        <v>4.2426406871192848</v>
      </c>
      <c r="N130">
        <v>-3.8012229853781507</v>
      </c>
      <c r="O130">
        <v>-3.2481846954003117</v>
      </c>
      <c r="P130">
        <v>1</v>
      </c>
    </row>
    <row r="131" spans="2:16" x14ac:dyDescent="0.25">
      <c r="B131" s="10">
        <v>4</v>
      </c>
      <c r="C131" s="10">
        <v>-4</v>
      </c>
      <c r="D131" s="10">
        <v>-4</v>
      </c>
      <c r="E131" s="9">
        <v>1</v>
      </c>
      <c r="M131">
        <v>-1.4142135623730945</v>
      </c>
      <c r="N131">
        <v>-0.12632150591587643</v>
      </c>
      <c r="O131">
        <v>-7.5487775750212123</v>
      </c>
      <c r="P131">
        <v>1</v>
      </c>
    </row>
  </sheetData>
  <mergeCells count="4">
    <mergeCell ref="H11:K11"/>
    <mergeCell ref="H17:K17"/>
    <mergeCell ref="H23:K23"/>
    <mergeCell ref="H29:K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XDAVIXD</dc:creator>
  <cp:lastModifiedBy>chedraui</cp:lastModifiedBy>
  <dcterms:created xsi:type="dcterms:W3CDTF">2015-06-05T18:17:20Z</dcterms:created>
  <dcterms:modified xsi:type="dcterms:W3CDTF">2024-02-04T21:28:33Z</dcterms:modified>
</cp:coreProperties>
</file>