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Martinez Lorenzo Luis Ángel-192H17120\Unidad ll\"/>
    </mc:Choice>
  </mc:AlternateContent>
  <bookViews>
    <workbookView xWindow="-120" yWindow="-120" windowWidth="20640" windowHeight="11160"/>
  </bookViews>
  <sheets>
    <sheet name="Epicicloide" sheetId="2" r:id="rId1"/>
  </sheets>
  <calcPr calcId="152511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5" i="2" s="1"/>
  <c r="C2" i="2"/>
  <c r="C3" i="2" s="1"/>
  <c r="C5" i="2" s="1"/>
  <c r="B4" i="2" l="1"/>
  <c r="C4" i="2"/>
  <c r="D2" i="2"/>
  <c r="D3" i="2" l="1"/>
  <c r="E2" i="2"/>
  <c r="D5" i="2" l="1"/>
  <c r="D4" i="2"/>
  <c r="E3" i="2"/>
  <c r="F2" i="2"/>
  <c r="E4" i="2" l="1"/>
  <c r="E5" i="2"/>
  <c r="F3" i="2"/>
  <c r="G2" i="2"/>
  <c r="F4" i="2" l="1"/>
  <c r="F5" i="2"/>
  <c r="G3" i="2"/>
  <c r="H2" i="2"/>
  <c r="G5" i="2" l="1"/>
  <c r="G4" i="2"/>
  <c r="I2" i="2"/>
  <c r="H3" i="2"/>
  <c r="H5" i="2" l="1"/>
  <c r="H4" i="2"/>
  <c r="I3" i="2"/>
  <c r="J2" i="2"/>
  <c r="I4" i="2" l="1"/>
  <c r="I5" i="2"/>
  <c r="J3" i="2"/>
  <c r="K2" i="2"/>
  <c r="J4" i="2" l="1"/>
  <c r="J5" i="2"/>
  <c r="K3" i="2"/>
  <c r="L2" i="2"/>
  <c r="K5" i="2" l="1"/>
  <c r="K4" i="2"/>
  <c r="L3" i="2"/>
  <c r="M2" i="2"/>
  <c r="L5" i="2" l="1"/>
  <c r="L4" i="2"/>
  <c r="M3" i="2"/>
  <c r="N2" i="2"/>
  <c r="M4" i="2" l="1"/>
  <c r="M5" i="2"/>
  <c r="N3" i="2"/>
  <c r="O2" i="2"/>
  <c r="N4" i="2" l="1"/>
  <c r="N5" i="2"/>
  <c r="O3" i="2"/>
  <c r="P2" i="2"/>
  <c r="O5" i="2" l="1"/>
  <c r="O4" i="2"/>
  <c r="Q2" i="2"/>
  <c r="P3" i="2"/>
  <c r="P5" i="2" l="1"/>
  <c r="P4" i="2"/>
  <c r="Q3" i="2"/>
  <c r="R2" i="2"/>
  <c r="Q4" i="2" l="1"/>
  <c r="Q5" i="2"/>
  <c r="R3" i="2"/>
  <c r="S2" i="2"/>
  <c r="R4" i="2" l="1"/>
  <c r="R5" i="2"/>
  <c r="S3" i="2"/>
  <c r="T2" i="2"/>
  <c r="S5" i="2" l="1"/>
  <c r="S4" i="2"/>
  <c r="T3" i="2"/>
  <c r="U2" i="2"/>
  <c r="T5" i="2" l="1"/>
  <c r="T4" i="2"/>
  <c r="U3" i="2"/>
  <c r="V2" i="2"/>
  <c r="U4" i="2" l="1"/>
  <c r="U5" i="2"/>
  <c r="V3" i="2"/>
  <c r="W2" i="2"/>
  <c r="V4" i="2" l="1"/>
  <c r="V5" i="2"/>
  <c r="W3" i="2"/>
  <c r="X2" i="2"/>
  <c r="W5" i="2" l="1"/>
  <c r="W4" i="2"/>
  <c r="Y2" i="2"/>
  <c r="X3" i="2"/>
  <c r="X5" i="2" l="1"/>
  <c r="X4" i="2"/>
  <c r="Y3" i="2"/>
  <c r="Z2" i="2"/>
  <c r="Z3" i="2" s="1"/>
  <c r="Z4" i="2" l="1"/>
  <c r="Z5" i="2"/>
  <c r="Y4" i="2"/>
  <c r="Y5" i="2"/>
  <c r="B8" i="2"/>
  <c r="B9" i="2"/>
  <c r="B11" i="2"/>
  <c r="B12" i="2"/>
  <c r="D12" i="2"/>
  <c r="E12" i="2"/>
  <c r="F12" i="2"/>
  <c r="B13" i="2"/>
  <c r="D13" i="2"/>
  <c r="E13" i="2"/>
  <c r="F13" i="2"/>
  <c r="E16" i="2" a="1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</calcChain>
</file>

<file path=xl/sharedStrings.xml><?xml version="1.0" encoding="utf-8"?>
<sst xmlns="http://schemas.openxmlformats.org/spreadsheetml/2006/main" count="17" uniqueCount="15">
  <si>
    <t>a</t>
  </si>
  <si>
    <t>Ang</t>
  </si>
  <si>
    <t>t</t>
  </si>
  <si>
    <t>X</t>
  </si>
  <si>
    <t>Y</t>
  </si>
  <si>
    <t>x</t>
  </si>
  <si>
    <t>y</t>
  </si>
  <si>
    <t>Inc</t>
  </si>
  <si>
    <t>Rad</t>
  </si>
  <si>
    <t>X'</t>
  </si>
  <si>
    <t>Y'</t>
  </si>
  <si>
    <t>Dx</t>
  </si>
  <si>
    <t>Giro</t>
  </si>
  <si>
    <t>Matriz de resultante</t>
  </si>
  <si>
    <t>Derivar X y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</si>
</sst>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2" borderId="1" xfId="0" applyFill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/>
    <xf numFmtId="1" fontId="0" fillId="0" borderId="1" xfId="0" applyNumberFormat="1" applyBorder="1"/>
    <xf numFmtId="0" fontId="0" fillId="2" borderId="1" xfId="0" applyFill="1" applyBorder="1" applyAlignment="1"/>
    <xf numFmtId="0" fontId="0" fillId="2" borderId="2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Epicicloide!$B$4:$Z$4</c:f>
              <c:numCache>
                <c:formatCode>General</c:formatCode>
                <c:ptCount val="25"/>
                <c:pt idx="0">
                  <c:v>8</c:v>
                </c:pt>
                <c:pt idx="1">
                  <c:v>9.400439217788163</c:v>
                </c:pt>
                <c:pt idx="2">
                  <c:v>7.794228634059948</c:v>
                </c:pt>
                <c:pt idx="3">
                  <c:v>5.6568542494923806</c:v>
                </c:pt>
                <c:pt idx="4">
                  <c:v>5.5000000000000009</c:v>
                </c:pt>
                <c:pt idx="5">
                  <c:v>1.6222646247361387</c:v>
                </c:pt>
                <c:pt idx="6">
                  <c:v>0</c:v>
                </c:pt>
                <c:pt idx="7">
                  <c:v>-1.6222646247361401</c:v>
                </c:pt>
                <c:pt idx="8">
                  <c:v>-5.4999999999999982</c:v>
                </c:pt>
                <c:pt idx="9">
                  <c:v>-5.6568542494923815</c:v>
                </c:pt>
                <c:pt idx="10">
                  <c:v>-7.7942286340599489</c:v>
                </c:pt>
                <c:pt idx="11">
                  <c:v>-9.400439217788163</c:v>
                </c:pt>
                <c:pt idx="12">
                  <c:v>-8</c:v>
                </c:pt>
                <c:pt idx="13">
                  <c:v>-9.400439217788163</c:v>
                </c:pt>
                <c:pt idx="14">
                  <c:v>-7.7942286340599463</c:v>
                </c:pt>
                <c:pt idx="15">
                  <c:v>-5.6568542494923815</c:v>
                </c:pt>
                <c:pt idx="16">
                  <c:v>-5.5000000000000036</c:v>
                </c:pt>
                <c:pt idx="17">
                  <c:v>-1.622264624736135</c:v>
                </c:pt>
                <c:pt idx="18">
                  <c:v>1.7763568394002505E-15</c:v>
                </c:pt>
                <c:pt idx="19">
                  <c:v>1.6222646247361321</c:v>
                </c:pt>
                <c:pt idx="20">
                  <c:v>5.5000000000000009</c:v>
                </c:pt>
                <c:pt idx="21">
                  <c:v>5.6568542494923779</c:v>
                </c:pt>
                <c:pt idx="22">
                  <c:v>7.7942286340599383</c:v>
                </c:pt>
                <c:pt idx="23">
                  <c:v>9.400439217788163</c:v>
                </c:pt>
                <c:pt idx="24">
                  <c:v>8</c:v>
                </c:pt>
              </c:numCache>
            </c:numRef>
          </c:xVal>
          <c:yVal>
            <c:numRef>
              <c:f>Epicicloide!$B$5:$Z$5</c:f>
              <c:numCache>
                <c:formatCode>General</c:formatCode>
                <c:ptCount val="25"/>
                <c:pt idx="0">
                  <c:v>0</c:v>
                </c:pt>
                <c:pt idx="1">
                  <c:v>1.6222646247361392</c:v>
                </c:pt>
                <c:pt idx="2">
                  <c:v>5.4999999999999991</c:v>
                </c:pt>
                <c:pt idx="3">
                  <c:v>5.6568542494923806</c:v>
                </c:pt>
                <c:pt idx="4">
                  <c:v>7.7942286340599471</c:v>
                </c:pt>
                <c:pt idx="5">
                  <c:v>9.400439217788163</c:v>
                </c:pt>
                <c:pt idx="6">
                  <c:v>8</c:v>
                </c:pt>
                <c:pt idx="7">
                  <c:v>9.400439217788163</c:v>
                </c:pt>
                <c:pt idx="8">
                  <c:v>7.7942286340599489</c:v>
                </c:pt>
                <c:pt idx="9">
                  <c:v>5.6568542494923797</c:v>
                </c:pt>
                <c:pt idx="10">
                  <c:v>5.4999999999999991</c:v>
                </c:pt>
                <c:pt idx="11">
                  <c:v>1.6222646247361445</c:v>
                </c:pt>
                <c:pt idx="12">
                  <c:v>0</c:v>
                </c:pt>
                <c:pt idx="13">
                  <c:v>-1.6222646247361405</c:v>
                </c:pt>
                <c:pt idx="14">
                  <c:v>-5.5000000000000009</c:v>
                </c:pt>
                <c:pt idx="15">
                  <c:v>-5.6568542494923806</c:v>
                </c:pt>
                <c:pt idx="16">
                  <c:v>-7.7942286340599436</c:v>
                </c:pt>
                <c:pt idx="17">
                  <c:v>-9.4004392177881595</c:v>
                </c:pt>
                <c:pt idx="18">
                  <c:v>-8</c:v>
                </c:pt>
                <c:pt idx="19">
                  <c:v>-9.4004392177881595</c:v>
                </c:pt>
                <c:pt idx="20">
                  <c:v>-7.7942286340599454</c:v>
                </c:pt>
                <c:pt idx="21">
                  <c:v>-5.6568542494923824</c:v>
                </c:pt>
                <c:pt idx="22">
                  <c:v>-5.5000000000000036</c:v>
                </c:pt>
                <c:pt idx="23">
                  <c:v>-1.6222646247361396</c:v>
                </c:pt>
                <c:pt idx="2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3BB-46CF-87F0-D1A5EE9A4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121400"/>
        <c:axId val="260122576"/>
      </c:scatterChart>
      <c:scatterChart>
        <c:scatterStyle val="lineMarker"/>
        <c:varyColors val="0"/>
        <c:ser>
          <c:idx val="1"/>
          <c:order val="1"/>
          <c:spPr>
            <a:ln w="19050" cap="rnd" cmpd="sng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Epicicloide!$E$16:$AP$16</c:f>
              <c:numCache>
                <c:formatCode>0.00</c:formatCode>
                <c:ptCount val="38"/>
                <c:pt idx="0">
                  <c:v>4.5349434032281293</c:v>
                </c:pt>
                <c:pt idx="1">
                  <c:v>2.8413037471296034</c:v>
                </c:pt>
                <c:pt idx="2">
                  <c:v>6.4650565967718725</c:v>
                </c:pt>
                <c:pt idx="3">
                  <c:v>8.1586962528703992</c:v>
                </c:pt>
                <c:pt idx="4">
                  <c:v>4.5349434032281293</c:v>
                </c:pt>
                <c:pt idx="5">
                  <c:v>4.7762075524210967</c:v>
                </c:pt>
                <c:pt idx="6">
                  <c:v>3.5059778103472024</c:v>
                </c:pt>
                <c:pt idx="7">
                  <c:v>2.8413037471296034</c:v>
                </c:pt>
                <c:pt idx="8">
                  <c:v>3.5059778103472024</c:v>
                </c:pt>
                <c:pt idx="9">
                  <c:v>6.223792447578905</c:v>
                </c:pt>
                <c:pt idx="10">
                  <c:v>6.4650565967718725</c:v>
                </c:pt>
                <c:pt idx="11">
                  <c:v>6.223792447578905</c:v>
                </c:pt>
                <c:pt idx="12">
                  <c:v>7.4940221896527994</c:v>
                </c:pt>
                <c:pt idx="13" formatCode="General">
                  <c:v>8.1586962528703992</c:v>
                </c:pt>
                <c:pt idx="14" formatCode="General">
                  <c:v>7.4940221896527994</c:v>
                </c:pt>
                <c:pt idx="15" formatCode="General">
                  <c:v>4.7762075524210967</c:v>
                </c:pt>
                <c:pt idx="16" formatCode="General">
                  <c:v>5.0174717016140651</c:v>
                </c:pt>
                <c:pt idx="17" formatCode="General">
                  <c:v>4.1706518735648022</c:v>
                </c:pt>
                <c:pt idx="18" formatCode="General">
                  <c:v>3.5059778103472024</c:v>
                </c:pt>
                <c:pt idx="19" formatCode="General">
                  <c:v>4.1706518735648022</c:v>
                </c:pt>
                <c:pt idx="20" formatCode="General">
                  <c:v>5.9825282983859367</c:v>
                </c:pt>
                <c:pt idx="21" formatCode="General">
                  <c:v>6.223792447578905</c:v>
                </c:pt>
                <c:pt idx="22" formatCode="General">
                  <c:v>5.9825282983859367</c:v>
                </c:pt>
                <c:pt idx="23" formatCode="General">
                  <c:v>6.8293481264351996</c:v>
                </c:pt>
                <c:pt idx="24" formatCode="General">
                  <c:v>7.4940221896527994</c:v>
                </c:pt>
                <c:pt idx="25" formatCode="General">
                  <c:v>6.8293481264351996</c:v>
                </c:pt>
                <c:pt idx="26" formatCode="General">
                  <c:v>5.0174717016140651</c:v>
                </c:pt>
                <c:pt idx="27" formatCode="General">
                  <c:v>5.2587358508070325</c:v>
                </c:pt>
                <c:pt idx="28" formatCode="General">
                  <c:v>4.835325936782402</c:v>
                </c:pt>
                <c:pt idx="29" formatCode="General">
                  <c:v>4.1706518735648022</c:v>
                </c:pt>
                <c:pt idx="30" formatCode="General">
                  <c:v>4.835325936782402</c:v>
                </c:pt>
                <c:pt idx="31" formatCode="General">
                  <c:v>5.7412641491929692</c:v>
                </c:pt>
                <c:pt idx="32" formatCode="General">
                  <c:v>5.9825282983859367</c:v>
                </c:pt>
                <c:pt idx="33" formatCode="General">
                  <c:v>5.7412641491929692</c:v>
                </c:pt>
                <c:pt idx="34" formatCode="General">
                  <c:v>6.1646740632175998</c:v>
                </c:pt>
                <c:pt idx="35" formatCode="General">
                  <c:v>6.8293481264351996</c:v>
                </c:pt>
                <c:pt idx="36" formatCode="General">
                  <c:v>6.1646740632175998</c:v>
                </c:pt>
                <c:pt idx="37" formatCode="General">
                  <c:v>5.2587358508070325</c:v>
                </c:pt>
              </c:numCache>
            </c:numRef>
          </c:xVal>
          <c:yVal>
            <c:numRef>
              <c:f>Epicicloide!$E$17:$AP$17</c:f>
              <c:numCache>
                <c:formatCode>0.00</c:formatCode>
                <c:ptCount val="38"/>
                <c:pt idx="0">
                  <c:v>-10.608997367209485</c:v>
                </c:pt>
                <c:pt idx="1">
                  <c:v>-8.071856044240814</c:v>
                </c:pt>
                <c:pt idx="2">
                  <c:v>-4.9794599009104061</c:v>
                </c:pt>
                <c:pt idx="3">
                  <c:v>-7.5166012238790767</c:v>
                </c:pt>
                <c:pt idx="4">
                  <c:v>-10.608997367209485</c:v>
                </c:pt>
                <c:pt idx="5">
                  <c:v>-9.9053051839220991</c:v>
                </c:pt>
                <c:pt idx="6">
                  <c:v>-8.0024491916955967</c:v>
                </c:pt>
                <c:pt idx="7">
                  <c:v>-8.071856044240814</c:v>
                </c:pt>
                <c:pt idx="8">
                  <c:v>-8.0024491916955967</c:v>
                </c:pt>
                <c:pt idx="9">
                  <c:v>-5.6831520841977907</c:v>
                </c:pt>
                <c:pt idx="10">
                  <c:v>-4.9794599009104061</c:v>
                </c:pt>
                <c:pt idx="11">
                  <c:v>-5.6831520841977907</c:v>
                </c:pt>
                <c:pt idx="12">
                  <c:v>-7.5860080764242941</c:v>
                </c:pt>
                <c:pt idx="13" formatCode="General">
                  <c:v>-7.5166012238790767</c:v>
                </c:pt>
                <c:pt idx="14" formatCode="General">
                  <c:v>-7.5860080764242941</c:v>
                </c:pt>
                <c:pt idx="15" formatCode="General">
                  <c:v>-9.9053051839220991</c:v>
                </c:pt>
                <c:pt idx="16" formatCode="General">
                  <c:v>-9.2016130006347154</c:v>
                </c:pt>
                <c:pt idx="17" formatCode="General">
                  <c:v>-7.9330423391503802</c:v>
                </c:pt>
                <c:pt idx="18" formatCode="General">
                  <c:v>-8.0024491916955967</c:v>
                </c:pt>
                <c:pt idx="19" formatCode="General">
                  <c:v>-7.9330423391503802</c:v>
                </c:pt>
                <c:pt idx="20" formatCode="General">
                  <c:v>-6.3868442674851753</c:v>
                </c:pt>
                <c:pt idx="21" formatCode="General">
                  <c:v>-5.6831520841977907</c:v>
                </c:pt>
                <c:pt idx="22" formatCode="General">
                  <c:v>-6.3868442674851753</c:v>
                </c:pt>
                <c:pt idx="23" formatCode="General">
                  <c:v>-7.6554149289695106</c:v>
                </c:pt>
                <c:pt idx="24" formatCode="General">
                  <c:v>-7.5860080764242941</c:v>
                </c:pt>
                <c:pt idx="25" formatCode="General">
                  <c:v>-7.6554149289695106</c:v>
                </c:pt>
                <c:pt idx="26" formatCode="General">
                  <c:v>-9.2016130006347154</c:v>
                </c:pt>
                <c:pt idx="27" formatCode="General">
                  <c:v>-8.49792081734733</c:v>
                </c:pt>
                <c:pt idx="28" formatCode="General">
                  <c:v>-7.8636354866051628</c:v>
                </c:pt>
                <c:pt idx="29" formatCode="General">
                  <c:v>-7.9330423391503802</c:v>
                </c:pt>
                <c:pt idx="30" formatCode="General">
                  <c:v>-7.8636354866051628</c:v>
                </c:pt>
                <c:pt idx="31" formatCode="General">
                  <c:v>-7.0905364507725608</c:v>
                </c:pt>
                <c:pt idx="32" formatCode="General">
                  <c:v>-6.3868442674851753</c:v>
                </c:pt>
                <c:pt idx="33" formatCode="General">
                  <c:v>-7.0905364507725608</c:v>
                </c:pt>
                <c:pt idx="34" formatCode="General">
                  <c:v>-7.724821781514728</c:v>
                </c:pt>
                <c:pt idx="35" formatCode="General">
                  <c:v>-7.6554149289695106</c:v>
                </c:pt>
                <c:pt idx="36" formatCode="General">
                  <c:v>-7.724821781514728</c:v>
                </c:pt>
                <c:pt idx="37" formatCode="General">
                  <c:v>-8.49792081734733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3BB-46CF-87F0-D1A5EE9A4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121400"/>
        <c:axId val="260122576"/>
      </c:scatterChart>
      <c:valAx>
        <c:axId val="260121400"/>
        <c:scaling>
          <c:orientation val="minMax"/>
          <c:max val="12"/>
          <c:min val="-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0122576"/>
        <c:crosses val="autoZero"/>
        <c:crossBetween val="midCat"/>
        <c:majorUnit val="1"/>
      </c:valAx>
      <c:valAx>
        <c:axId val="260122576"/>
        <c:scaling>
          <c:orientation val="minMax"/>
          <c:max val="12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012140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305858</xdr:colOff>
      <xdr:row>18</xdr:row>
      <xdr:rowOff>55033</xdr:rowOff>
    </xdr:from>
    <xdr:to>
      <xdr:col>24</xdr:col>
      <xdr:colOff>347133</xdr:colOff>
      <xdr:row>37</xdr:row>
      <xdr:rowOff>74083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8941FF1A-4E6C-4077-84D6-0C5FA4996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Views>
    <sheetView tabSelected="1" topLeftCell="A12" zoomScaleNormal="100" workbookViewId="0">
      <selection activeCell="AB35" sqref="AB35"/>
    </sheetView>
  </sheetViews>
  <sheetFormatPr baseColWidth="10" defaultRowHeight="15" x14ac:dyDescent="0.25"/>
  <cols>
    <col min="1" max="1" width="5.7109375" style="1" customWidth="1"/>
    <col min="2" max="2" width="8.42578125" style="1" bestFit="1" customWidth="1"/>
    <col min="3" max="5" width="5.7109375" style="1" customWidth="1"/>
    <col min="6" max="6" width="6.140625" style="1" customWidth="1"/>
    <col min="7" max="7" width="5.7109375" style="1" customWidth="1"/>
    <col min="8" max="8" width="6.28515625" style="1" bestFit="1" customWidth="1"/>
    <col min="9" max="61" width="5.7109375" style="1" customWidth="1"/>
    <col min="62" max="16384" width="11.42578125" style="1"/>
  </cols>
  <sheetData>
    <row r="1" spans="1:42" x14ac:dyDescent="0.25">
      <c r="A1" s="4" t="s">
        <v>0</v>
      </c>
      <c r="B1" s="9">
        <v>2</v>
      </c>
    </row>
    <row r="2" spans="1:42" x14ac:dyDescent="0.25">
      <c r="A2" s="4" t="s">
        <v>1</v>
      </c>
      <c r="B2" s="7">
        <v>0</v>
      </c>
      <c r="C2" s="7">
        <f>B2+15</f>
        <v>15</v>
      </c>
      <c r="D2" s="7">
        <f t="shared" ref="D2:Z2" si="0">C2+15</f>
        <v>30</v>
      </c>
      <c r="E2" s="7">
        <f>D2+15</f>
        <v>45</v>
      </c>
      <c r="F2" s="7">
        <f t="shared" si="0"/>
        <v>60</v>
      </c>
      <c r="G2" s="7">
        <f t="shared" si="0"/>
        <v>75</v>
      </c>
      <c r="H2" s="7">
        <f t="shared" si="0"/>
        <v>90</v>
      </c>
      <c r="I2" s="7">
        <f t="shared" si="0"/>
        <v>105</v>
      </c>
      <c r="J2" s="7">
        <f t="shared" si="0"/>
        <v>120</v>
      </c>
      <c r="K2" s="7">
        <f t="shared" si="0"/>
        <v>135</v>
      </c>
      <c r="L2" s="7">
        <f t="shared" si="0"/>
        <v>150</v>
      </c>
      <c r="M2" s="7">
        <f t="shared" si="0"/>
        <v>165</v>
      </c>
      <c r="N2" s="7">
        <f t="shared" si="0"/>
        <v>180</v>
      </c>
      <c r="O2" s="7">
        <f t="shared" si="0"/>
        <v>195</v>
      </c>
      <c r="P2" s="7">
        <f t="shared" si="0"/>
        <v>210</v>
      </c>
      <c r="Q2" s="7">
        <f t="shared" si="0"/>
        <v>225</v>
      </c>
      <c r="R2" s="7">
        <f t="shared" si="0"/>
        <v>240</v>
      </c>
      <c r="S2" s="7">
        <f t="shared" si="0"/>
        <v>255</v>
      </c>
      <c r="T2" s="7">
        <f t="shared" si="0"/>
        <v>270</v>
      </c>
      <c r="U2" s="7">
        <f t="shared" si="0"/>
        <v>285</v>
      </c>
      <c r="V2" s="7">
        <f t="shared" si="0"/>
        <v>300</v>
      </c>
      <c r="W2" s="7">
        <f t="shared" si="0"/>
        <v>315</v>
      </c>
      <c r="X2" s="7">
        <f t="shared" si="0"/>
        <v>330</v>
      </c>
      <c r="Y2" s="7">
        <f t="shared" si="0"/>
        <v>345</v>
      </c>
      <c r="Z2" s="7">
        <f t="shared" si="0"/>
        <v>360</v>
      </c>
    </row>
    <row r="3" spans="1:42" x14ac:dyDescent="0.25">
      <c r="A3" s="4" t="s">
        <v>2</v>
      </c>
      <c r="B3" s="10">
        <f>RADIANS(B2)</f>
        <v>0</v>
      </c>
      <c r="C3" s="5">
        <f t="shared" ref="C3:Z3" si="1">RADIANS(C2)</f>
        <v>0.26179938779914941</v>
      </c>
      <c r="D3" s="5">
        <f t="shared" si="1"/>
        <v>0.52359877559829882</v>
      </c>
      <c r="E3" s="5">
        <f t="shared" si="1"/>
        <v>0.78539816339744828</v>
      </c>
      <c r="F3" s="5">
        <f t="shared" si="1"/>
        <v>1.0471975511965976</v>
      </c>
      <c r="G3" s="5">
        <f t="shared" si="1"/>
        <v>1.3089969389957472</v>
      </c>
      <c r="H3" s="5">
        <f t="shared" si="1"/>
        <v>1.5707963267948966</v>
      </c>
      <c r="I3" s="5">
        <f t="shared" si="1"/>
        <v>1.8325957145940461</v>
      </c>
      <c r="J3" s="5">
        <f t="shared" si="1"/>
        <v>2.0943951023931953</v>
      </c>
      <c r="K3" s="5">
        <f t="shared" si="1"/>
        <v>2.3561944901923448</v>
      </c>
      <c r="L3" s="5">
        <f t="shared" si="1"/>
        <v>2.6179938779914944</v>
      </c>
      <c r="M3" s="5">
        <f t="shared" si="1"/>
        <v>2.8797932657906435</v>
      </c>
      <c r="N3" s="5">
        <f t="shared" si="1"/>
        <v>3.1415926535897931</v>
      </c>
      <c r="O3" s="5">
        <f t="shared" si="1"/>
        <v>3.4033920413889427</v>
      </c>
      <c r="P3" s="5">
        <f t="shared" si="1"/>
        <v>3.6651914291880923</v>
      </c>
      <c r="Q3" s="5">
        <f t="shared" si="1"/>
        <v>3.9269908169872414</v>
      </c>
      <c r="R3" s="5">
        <f t="shared" si="1"/>
        <v>4.1887902047863905</v>
      </c>
      <c r="S3" s="5">
        <f t="shared" si="1"/>
        <v>4.4505895925855405</v>
      </c>
      <c r="T3" s="5">
        <f t="shared" si="1"/>
        <v>4.7123889803846897</v>
      </c>
      <c r="U3" s="5">
        <f t="shared" si="1"/>
        <v>4.9741883681838388</v>
      </c>
      <c r="V3" s="5">
        <f t="shared" si="1"/>
        <v>5.2359877559829888</v>
      </c>
      <c r="W3" s="5">
        <f t="shared" si="1"/>
        <v>5.497787143782138</v>
      </c>
      <c r="X3" s="5">
        <f t="shared" si="1"/>
        <v>5.7595865315812871</v>
      </c>
      <c r="Y3" s="5">
        <f t="shared" si="1"/>
        <v>6.0213859193804371</v>
      </c>
      <c r="Z3" s="5">
        <f t="shared" si="1"/>
        <v>6.2831853071795862</v>
      </c>
    </row>
    <row r="4" spans="1:42" x14ac:dyDescent="0.25">
      <c r="A4" s="4" t="s">
        <v>3</v>
      </c>
      <c r="B4" s="7">
        <f>(9*COS(B3))-(COS(9*B3))</f>
        <v>8</v>
      </c>
      <c r="C4" s="7">
        <f t="shared" ref="C4:Z4" si="2">(9*COS(C3))-(COS(9*C3))</f>
        <v>9.400439217788163</v>
      </c>
      <c r="D4" s="7">
        <f t="shared" si="2"/>
        <v>7.794228634059948</v>
      </c>
      <c r="E4" s="7">
        <f t="shared" si="2"/>
        <v>5.6568542494923806</v>
      </c>
      <c r="F4" s="7">
        <f t="shared" si="2"/>
        <v>5.5000000000000009</v>
      </c>
      <c r="G4" s="7">
        <f t="shared" si="2"/>
        <v>1.6222646247361387</v>
      </c>
      <c r="H4" s="7">
        <f t="shared" si="2"/>
        <v>0</v>
      </c>
      <c r="I4" s="7">
        <f t="shared" si="2"/>
        <v>-1.6222646247361401</v>
      </c>
      <c r="J4" s="7">
        <f t="shared" si="2"/>
        <v>-5.4999999999999982</v>
      </c>
      <c r="K4" s="7">
        <f t="shared" si="2"/>
        <v>-5.6568542494923815</v>
      </c>
      <c r="L4" s="7">
        <f t="shared" si="2"/>
        <v>-7.7942286340599489</v>
      </c>
      <c r="M4" s="7">
        <f t="shared" si="2"/>
        <v>-9.400439217788163</v>
      </c>
      <c r="N4" s="7">
        <f t="shared" si="2"/>
        <v>-8</v>
      </c>
      <c r="O4" s="7">
        <f t="shared" si="2"/>
        <v>-9.400439217788163</v>
      </c>
      <c r="P4" s="7">
        <f t="shared" si="2"/>
        <v>-7.7942286340599463</v>
      </c>
      <c r="Q4" s="7">
        <f t="shared" si="2"/>
        <v>-5.6568542494923815</v>
      </c>
      <c r="R4" s="7">
        <f t="shared" si="2"/>
        <v>-5.5000000000000036</v>
      </c>
      <c r="S4" s="7">
        <f t="shared" si="2"/>
        <v>-1.622264624736135</v>
      </c>
      <c r="T4" s="7">
        <f t="shared" si="2"/>
        <v>1.7763568394002505E-15</v>
      </c>
      <c r="U4" s="7">
        <f t="shared" si="2"/>
        <v>1.6222646247361321</v>
      </c>
      <c r="V4" s="7">
        <f t="shared" si="2"/>
        <v>5.5000000000000009</v>
      </c>
      <c r="W4" s="7">
        <f t="shared" si="2"/>
        <v>5.6568542494923779</v>
      </c>
      <c r="X4" s="7">
        <f t="shared" si="2"/>
        <v>7.7942286340599383</v>
      </c>
      <c r="Y4" s="7">
        <f t="shared" si="2"/>
        <v>9.400439217788163</v>
      </c>
      <c r="Z4" s="7">
        <f t="shared" si="2"/>
        <v>8</v>
      </c>
    </row>
    <row r="5" spans="1:42" x14ac:dyDescent="0.25">
      <c r="A5" s="4" t="s">
        <v>4</v>
      </c>
      <c r="B5" s="7">
        <f>(9*SIN(B3))-(SIN(9*B3))</f>
        <v>0</v>
      </c>
      <c r="C5" s="7">
        <f t="shared" ref="C5:Z5" si="3">(9*SIN(C3))-(SIN(9*C3))</f>
        <v>1.6222646247361392</v>
      </c>
      <c r="D5" s="7">
        <f t="shared" si="3"/>
        <v>5.4999999999999991</v>
      </c>
      <c r="E5" s="7">
        <f t="shared" si="3"/>
        <v>5.6568542494923806</v>
      </c>
      <c r="F5" s="7">
        <f t="shared" si="3"/>
        <v>7.7942286340599471</v>
      </c>
      <c r="G5" s="7">
        <f t="shared" si="3"/>
        <v>9.400439217788163</v>
      </c>
      <c r="H5" s="7">
        <f t="shared" si="3"/>
        <v>8</v>
      </c>
      <c r="I5" s="7">
        <f t="shared" si="3"/>
        <v>9.400439217788163</v>
      </c>
      <c r="J5" s="7">
        <f t="shared" si="3"/>
        <v>7.7942286340599489</v>
      </c>
      <c r="K5" s="7">
        <f t="shared" si="3"/>
        <v>5.6568542494923797</v>
      </c>
      <c r="L5" s="7">
        <f t="shared" si="3"/>
        <v>5.4999999999999991</v>
      </c>
      <c r="M5" s="7">
        <f t="shared" si="3"/>
        <v>1.6222646247361445</v>
      </c>
      <c r="N5" s="7">
        <f t="shared" si="3"/>
        <v>0</v>
      </c>
      <c r="O5" s="7">
        <f t="shared" si="3"/>
        <v>-1.6222646247361405</v>
      </c>
      <c r="P5" s="7">
        <f t="shared" si="3"/>
        <v>-5.5000000000000009</v>
      </c>
      <c r="Q5" s="7">
        <f t="shared" si="3"/>
        <v>-5.6568542494923806</v>
      </c>
      <c r="R5" s="7">
        <f t="shared" si="3"/>
        <v>-7.7942286340599436</v>
      </c>
      <c r="S5" s="7">
        <f t="shared" si="3"/>
        <v>-9.4004392177881595</v>
      </c>
      <c r="T5" s="7">
        <f t="shared" si="3"/>
        <v>-8</v>
      </c>
      <c r="U5" s="7">
        <f t="shared" si="3"/>
        <v>-9.4004392177881595</v>
      </c>
      <c r="V5" s="7">
        <f t="shared" si="3"/>
        <v>-7.7942286340599454</v>
      </c>
      <c r="W5" s="7">
        <f t="shared" si="3"/>
        <v>-5.6568542494923824</v>
      </c>
      <c r="X5" s="7">
        <f t="shared" si="3"/>
        <v>-5.5000000000000036</v>
      </c>
      <c r="Y5" s="7">
        <f t="shared" si="3"/>
        <v>-1.6222646247361396</v>
      </c>
      <c r="Z5" s="7">
        <f t="shared" si="3"/>
        <v>0</v>
      </c>
    </row>
    <row r="7" spans="1:42" x14ac:dyDescent="0.25">
      <c r="A7" s="4" t="s">
        <v>7</v>
      </c>
      <c r="B7" s="7">
        <v>5</v>
      </c>
      <c r="C7" s="14"/>
      <c r="D7" s="8" t="s">
        <v>5</v>
      </c>
      <c r="E7" s="7">
        <v>-2</v>
      </c>
      <c r="F7" s="7">
        <v>-2</v>
      </c>
      <c r="G7" s="7">
        <v>2</v>
      </c>
      <c r="H7" s="7">
        <v>2</v>
      </c>
      <c r="I7" s="7">
        <v>-2</v>
      </c>
      <c r="J7" s="7">
        <v>-1.5</v>
      </c>
      <c r="K7" s="7">
        <v>-1.5</v>
      </c>
      <c r="L7" s="7">
        <v>-2</v>
      </c>
      <c r="M7" s="7">
        <v>-1.5</v>
      </c>
      <c r="N7" s="7">
        <v>1.5</v>
      </c>
      <c r="O7" s="7">
        <v>2</v>
      </c>
      <c r="P7" s="7">
        <v>1.5</v>
      </c>
      <c r="Q7" s="7">
        <v>1.5</v>
      </c>
      <c r="R7" s="7">
        <v>2</v>
      </c>
      <c r="S7" s="7">
        <v>1.5</v>
      </c>
      <c r="T7" s="7">
        <v>-1.5</v>
      </c>
      <c r="U7" s="7">
        <v>-1</v>
      </c>
      <c r="V7" s="7">
        <v>-1</v>
      </c>
      <c r="W7" s="7">
        <v>-1.5</v>
      </c>
      <c r="X7" s="7">
        <v>-1</v>
      </c>
      <c r="Y7" s="7">
        <v>1</v>
      </c>
      <c r="Z7" s="7">
        <v>1.5</v>
      </c>
      <c r="AA7" s="7">
        <v>1</v>
      </c>
      <c r="AB7" s="7">
        <v>1</v>
      </c>
      <c r="AC7" s="7">
        <v>1.5</v>
      </c>
      <c r="AD7" s="7">
        <v>1</v>
      </c>
      <c r="AE7" s="7">
        <v>-1</v>
      </c>
      <c r="AF7" s="7">
        <v>-0.5</v>
      </c>
      <c r="AG7" s="7">
        <v>-0.5</v>
      </c>
      <c r="AH7" s="7">
        <v>-1</v>
      </c>
      <c r="AI7" s="7">
        <v>-0.5</v>
      </c>
      <c r="AJ7" s="7">
        <v>0.5</v>
      </c>
      <c r="AK7" s="7">
        <v>1</v>
      </c>
      <c r="AL7" s="7">
        <v>0.5</v>
      </c>
      <c r="AM7" s="7">
        <v>0.5</v>
      </c>
      <c r="AN7" s="7">
        <v>1</v>
      </c>
      <c r="AO7" s="7">
        <v>0.5</v>
      </c>
      <c r="AP7" s="7">
        <v>-0.5</v>
      </c>
    </row>
    <row r="8" spans="1:42" x14ac:dyDescent="0.25">
      <c r="A8" s="4" t="s">
        <v>1</v>
      </c>
      <c r="B8" s="7">
        <f ca="1">MOD(B8+B7,360)</f>
        <v>300</v>
      </c>
      <c r="C8" s="14"/>
      <c r="D8" s="8" t="s">
        <v>6</v>
      </c>
      <c r="E8" s="7">
        <v>-2</v>
      </c>
      <c r="F8" s="7">
        <v>2</v>
      </c>
      <c r="G8" s="7">
        <v>2</v>
      </c>
      <c r="H8" s="7">
        <v>-2</v>
      </c>
      <c r="I8" s="7">
        <v>-2</v>
      </c>
      <c r="J8" s="7">
        <v>-1.5</v>
      </c>
      <c r="K8" s="7">
        <v>1.5</v>
      </c>
      <c r="L8" s="7">
        <v>2</v>
      </c>
      <c r="M8" s="7">
        <v>1.5</v>
      </c>
      <c r="N8" s="7">
        <v>1.5</v>
      </c>
      <c r="O8" s="7">
        <v>2</v>
      </c>
      <c r="P8" s="7">
        <v>1.5</v>
      </c>
      <c r="Q8" s="7">
        <v>-1.5</v>
      </c>
      <c r="R8" s="7">
        <v>-2</v>
      </c>
      <c r="S8" s="7">
        <v>-1.5</v>
      </c>
      <c r="T8" s="7">
        <v>-1.5</v>
      </c>
      <c r="U8" s="7">
        <v>-1</v>
      </c>
      <c r="V8" s="7">
        <v>1</v>
      </c>
      <c r="W8" s="7">
        <v>1.5</v>
      </c>
      <c r="X8" s="7">
        <v>1</v>
      </c>
      <c r="Y8" s="7">
        <v>1</v>
      </c>
      <c r="Z8" s="7">
        <v>1.5</v>
      </c>
      <c r="AA8" s="7">
        <v>1</v>
      </c>
      <c r="AB8" s="7">
        <v>-1</v>
      </c>
      <c r="AC8" s="7">
        <v>-1.5</v>
      </c>
      <c r="AD8" s="7">
        <v>-1</v>
      </c>
      <c r="AE8" s="7">
        <v>-1</v>
      </c>
      <c r="AF8" s="7">
        <v>-0.5</v>
      </c>
      <c r="AG8" s="7">
        <v>0.5</v>
      </c>
      <c r="AH8" s="7">
        <v>1</v>
      </c>
      <c r="AI8" s="7">
        <v>0.5</v>
      </c>
      <c r="AJ8" s="7">
        <v>0.5</v>
      </c>
      <c r="AK8" s="7">
        <v>1</v>
      </c>
      <c r="AL8" s="7">
        <v>0.5</v>
      </c>
      <c r="AM8" s="7">
        <v>-0.5</v>
      </c>
      <c r="AN8" s="7">
        <v>-1</v>
      </c>
      <c r="AO8" s="7">
        <v>-0.5</v>
      </c>
      <c r="AP8" s="7">
        <v>-0.5</v>
      </c>
    </row>
    <row r="9" spans="1:42" x14ac:dyDescent="0.25">
      <c r="A9" s="4" t="s">
        <v>8</v>
      </c>
      <c r="B9" s="5">
        <f ca="1">RADIANS(B8)</f>
        <v>5.2359877559829888</v>
      </c>
      <c r="C9" s="14"/>
      <c r="D9" s="8">
        <v>1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</row>
    <row r="11" spans="1:42" x14ac:dyDescent="0.25">
      <c r="A11" s="4" t="s">
        <v>11</v>
      </c>
      <c r="B11" s="5">
        <f ca="1">9*(SIN(9*B9)-SIN(B9))</f>
        <v>7.794228634059932</v>
      </c>
      <c r="D11" s="15" t="s">
        <v>13</v>
      </c>
      <c r="E11" s="16"/>
      <c r="F11" s="17"/>
    </row>
    <row r="12" spans="1:42" x14ac:dyDescent="0.25">
      <c r="A12" s="4" t="s">
        <v>11</v>
      </c>
      <c r="B12" s="6">
        <f ca="1">(COS(B9))-(9*COS(9*B9))</f>
        <v>9.5</v>
      </c>
      <c r="D12" s="6">
        <f ca="1">COS(B13)</f>
        <v>0.90593821241056738</v>
      </c>
      <c r="E12" s="6">
        <f ca="1">-SIN(B13)</f>
        <v>-0.42340991402463146</v>
      </c>
      <c r="F12" s="5">
        <f ca="1">(9*COS(B9))-(COS(9*B9))</f>
        <v>5.5000000000000009</v>
      </c>
    </row>
    <row r="13" spans="1:42" x14ac:dyDescent="0.25">
      <c r="A13" s="4" t="s">
        <v>12</v>
      </c>
      <c r="B13" s="6">
        <f ca="1">ATAN2(B11,B12)</f>
        <v>0.88371257906983891</v>
      </c>
      <c r="D13" s="6">
        <f ca="1">SIN(B13)</f>
        <v>0.77309903583260209</v>
      </c>
      <c r="E13" s="6">
        <f ca="1">COS(B13)</f>
        <v>0.63428533074216764</v>
      </c>
      <c r="F13" s="6">
        <f ca="1">(9*SIN(B9))-(SIN(9*B9))</f>
        <v>-7.7942286340599454</v>
      </c>
    </row>
    <row r="14" spans="1:42" x14ac:dyDescent="0.25">
      <c r="D14" s="7">
        <v>0</v>
      </c>
      <c r="E14" s="7">
        <v>0</v>
      </c>
      <c r="F14" s="7">
        <v>1</v>
      </c>
    </row>
    <row r="16" spans="1:42" x14ac:dyDescent="0.25">
      <c r="D16" s="13" t="s">
        <v>9</v>
      </c>
      <c r="E16" s="5">
        <f t="array" aca="1" ref="E16:AP18" ca="1">MMULT(D12:F14,E7:AP9)</f>
        <v>4.5349434032281293</v>
      </c>
      <c r="F16" s="5">
        <f ca="1"/>
        <v>2.8413037471296034</v>
      </c>
      <c r="G16" s="5">
        <f ca="1"/>
        <v>6.4650565967718725</v>
      </c>
      <c r="H16" s="5">
        <f ca="1"/>
        <v>8.1586962528703992</v>
      </c>
      <c r="I16" s="5">
        <f ca="1"/>
        <v>4.5349434032281293</v>
      </c>
      <c r="J16" s="5">
        <f ca="1"/>
        <v>4.7762075524210967</v>
      </c>
      <c r="K16" s="5">
        <f ca="1"/>
        <v>3.5059778103472024</v>
      </c>
      <c r="L16" s="5">
        <f ca="1"/>
        <v>2.8413037471296034</v>
      </c>
      <c r="M16" s="5">
        <f ca="1"/>
        <v>3.5059778103472024</v>
      </c>
      <c r="N16" s="5">
        <f ca="1"/>
        <v>6.223792447578905</v>
      </c>
      <c r="O16" s="5">
        <f ca="1"/>
        <v>6.4650565967718725</v>
      </c>
      <c r="P16" s="5">
        <f ca="1"/>
        <v>6.223792447578905</v>
      </c>
      <c r="Q16" s="5">
        <f ca="1"/>
        <v>7.4940221896527994</v>
      </c>
      <c r="R16" s="7">
        <f ca="1"/>
        <v>8.1586962528703992</v>
      </c>
      <c r="S16" s="7">
        <f ca="1"/>
        <v>7.4940221896527994</v>
      </c>
      <c r="T16" s="7">
        <f ca="1"/>
        <v>4.7762075524210967</v>
      </c>
      <c r="U16" s="7">
        <f ca="1"/>
        <v>5.0174717016140651</v>
      </c>
      <c r="V16" s="7">
        <f ca="1"/>
        <v>4.1706518735648022</v>
      </c>
      <c r="W16" s="7">
        <f ca="1"/>
        <v>3.5059778103472024</v>
      </c>
      <c r="X16" s="7">
        <f ca="1"/>
        <v>4.1706518735648022</v>
      </c>
      <c r="Y16" s="7">
        <f ca="1"/>
        <v>5.9825282983859367</v>
      </c>
      <c r="Z16" s="7">
        <f ca="1"/>
        <v>6.223792447578905</v>
      </c>
      <c r="AA16" s="7">
        <f ca="1"/>
        <v>5.9825282983859367</v>
      </c>
      <c r="AB16" s="7">
        <f ca="1"/>
        <v>6.8293481264351996</v>
      </c>
      <c r="AC16" s="7">
        <f ca="1"/>
        <v>7.4940221896527994</v>
      </c>
      <c r="AD16" s="7">
        <f ca="1"/>
        <v>6.8293481264351996</v>
      </c>
      <c r="AE16" s="7">
        <f ca="1"/>
        <v>5.0174717016140651</v>
      </c>
      <c r="AF16" s="7">
        <f ca="1"/>
        <v>5.2587358508070325</v>
      </c>
      <c r="AG16" s="7">
        <f ca="1"/>
        <v>4.835325936782402</v>
      </c>
      <c r="AH16" s="7">
        <f ca="1"/>
        <v>4.1706518735648022</v>
      </c>
      <c r="AI16" s="7">
        <f ca="1"/>
        <v>4.835325936782402</v>
      </c>
      <c r="AJ16" s="7">
        <f ca="1"/>
        <v>5.7412641491929692</v>
      </c>
      <c r="AK16" s="7">
        <f ca="1"/>
        <v>5.9825282983859367</v>
      </c>
      <c r="AL16" s="7">
        <f ca="1"/>
        <v>5.7412641491929692</v>
      </c>
      <c r="AM16" s="7">
        <f ca="1"/>
        <v>6.1646740632175998</v>
      </c>
      <c r="AN16" s="7">
        <f ca="1"/>
        <v>6.8293481264351996</v>
      </c>
      <c r="AO16" s="7">
        <f ca="1"/>
        <v>6.1646740632175998</v>
      </c>
      <c r="AP16" s="7">
        <f ca="1"/>
        <v>5.2587358508070325</v>
      </c>
    </row>
    <row r="17" spans="2:42" x14ac:dyDescent="0.25">
      <c r="D17" s="13" t="s">
        <v>10</v>
      </c>
      <c r="E17" s="5">
        <f ca="1"/>
        <v>-10.608997367209485</v>
      </c>
      <c r="F17" s="5">
        <f ca="1"/>
        <v>-8.071856044240814</v>
      </c>
      <c r="G17" s="5">
        <f ca="1"/>
        <v>-4.9794599009104061</v>
      </c>
      <c r="H17" s="5">
        <f ca="1"/>
        <v>-7.5166012238790767</v>
      </c>
      <c r="I17" s="5">
        <f ca="1"/>
        <v>-10.608997367209485</v>
      </c>
      <c r="J17" s="5">
        <f ca="1"/>
        <v>-9.9053051839220991</v>
      </c>
      <c r="K17" s="5">
        <f ca="1"/>
        <v>-8.0024491916955967</v>
      </c>
      <c r="L17" s="5">
        <f ca="1"/>
        <v>-8.071856044240814</v>
      </c>
      <c r="M17" s="5">
        <f ca="1"/>
        <v>-8.0024491916955967</v>
      </c>
      <c r="N17" s="5">
        <f ca="1"/>
        <v>-5.6831520841977907</v>
      </c>
      <c r="O17" s="5">
        <f ca="1"/>
        <v>-4.9794599009104061</v>
      </c>
      <c r="P17" s="5">
        <f ca="1"/>
        <v>-5.6831520841977907</v>
      </c>
      <c r="Q17" s="5">
        <f ca="1"/>
        <v>-7.5860080764242941</v>
      </c>
      <c r="R17" s="7">
        <f ca="1"/>
        <v>-7.5166012238790767</v>
      </c>
      <c r="S17" s="7">
        <f ca="1"/>
        <v>-7.5860080764242941</v>
      </c>
      <c r="T17" s="7">
        <f ca="1"/>
        <v>-9.9053051839220991</v>
      </c>
      <c r="U17" s="7">
        <f ca="1"/>
        <v>-9.2016130006347154</v>
      </c>
      <c r="V17" s="7">
        <f ca="1"/>
        <v>-7.9330423391503802</v>
      </c>
      <c r="W17" s="7">
        <f ca="1"/>
        <v>-8.0024491916955967</v>
      </c>
      <c r="X17" s="7">
        <f ca="1"/>
        <v>-7.9330423391503802</v>
      </c>
      <c r="Y17" s="7">
        <f ca="1"/>
        <v>-6.3868442674851753</v>
      </c>
      <c r="Z17" s="7">
        <f ca="1"/>
        <v>-5.6831520841977907</v>
      </c>
      <c r="AA17" s="7">
        <f ca="1"/>
        <v>-6.3868442674851753</v>
      </c>
      <c r="AB17" s="7">
        <f ca="1"/>
        <v>-7.6554149289695106</v>
      </c>
      <c r="AC17" s="7">
        <f ca="1"/>
        <v>-7.5860080764242941</v>
      </c>
      <c r="AD17" s="7">
        <f ca="1"/>
        <v>-7.6554149289695106</v>
      </c>
      <c r="AE17" s="7">
        <f ca="1"/>
        <v>-9.2016130006347154</v>
      </c>
      <c r="AF17" s="7">
        <f ca="1"/>
        <v>-8.49792081734733</v>
      </c>
      <c r="AG17" s="7">
        <f ca="1"/>
        <v>-7.8636354866051628</v>
      </c>
      <c r="AH17" s="7">
        <f ca="1"/>
        <v>-7.9330423391503802</v>
      </c>
      <c r="AI17" s="7">
        <f ca="1"/>
        <v>-7.8636354866051628</v>
      </c>
      <c r="AJ17" s="7">
        <f ca="1"/>
        <v>-7.0905364507725608</v>
      </c>
      <c r="AK17" s="7">
        <f ca="1"/>
        <v>-6.3868442674851753</v>
      </c>
      <c r="AL17" s="7">
        <f ca="1"/>
        <v>-7.0905364507725608</v>
      </c>
      <c r="AM17" s="7">
        <f ca="1"/>
        <v>-7.724821781514728</v>
      </c>
      <c r="AN17" s="7">
        <f ca="1"/>
        <v>-7.6554149289695106</v>
      </c>
      <c r="AO17" s="7">
        <f ca="1"/>
        <v>-7.724821781514728</v>
      </c>
      <c r="AP17" s="7">
        <f ca="1"/>
        <v>-8.49792081734733</v>
      </c>
    </row>
    <row r="18" spans="2:42" x14ac:dyDescent="0.25">
      <c r="B18" s="11" t="s">
        <v>14</v>
      </c>
      <c r="C18" s="12"/>
      <c r="D18" s="13">
        <v>1</v>
      </c>
      <c r="E18" s="13">
        <f ca="1"/>
        <v>1</v>
      </c>
      <c r="F18" s="13">
        <f ca="1"/>
        <v>1</v>
      </c>
      <c r="G18" s="13">
        <f ca="1"/>
        <v>1</v>
      </c>
      <c r="H18" s="13">
        <f ca="1"/>
        <v>1</v>
      </c>
      <c r="I18" s="13">
        <f ca="1"/>
        <v>1</v>
      </c>
      <c r="J18" s="13">
        <f ca="1"/>
        <v>1</v>
      </c>
      <c r="K18" s="13">
        <f ca="1"/>
        <v>1</v>
      </c>
      <c r="L18" s="13">
        <f ca="1"/>
        <v>1</v>
      </c>
      <c r="M18" s="13">
        <f ca="1"/>
        <v>1</v>
      </c>
      <c r="N18" s="13">
        <f ca="1"/>
        <v>1</v>
      </c>
      <c r="O18" s="13">
        <f ca="1"/>
        <v>1</v>
      </c>
      <c r="P18" s="13">
        <f ca="1"/>
        <v>1</v>
      </c>
      <c r="Q18" s="13">
        <f ca="1"/>
        <v>1</v>
      </c>
      <c r="R18" s="13">
        <f ca="1"/>
        <v>1</v>
      </c>
      <c r="S18" s="13">
        <f ca="1"/>
        <v>1</v>
      </c>
      <c r="T18" s="13">
        <f ca="1"/>
        <v>1</v>
      </c>
      <c r="U18" s="13">
        <f ca="1"/>
        <v>1</v>
      </c>
      <c r="V18" s="13">
        <f ca="1"/>
        <v>1</v>
      </c>
      <c r="W18" s="13">
        <f ca="1"/>
        <v>1</v>
      </c>
      <c r="X18" s="13">
        <f ca="1"/>
        <v>1</v>
      </c>
      <c r="Y18" s="13">
        <f ca="1"/>
        <v>1</v>
      </c>
      <c r="Z18" s="13">
        <f ca="1"/>
        <v>1</v>
      </c>
      <c r="AA18" s="13">
        <f ca="1"/>
        <v>1</v>
      </c>
      <c r="AB18" s="13">
        <f ca="1"/>
        <v>1</v>
      </c>
      <c r="AC18" s="13">
        <f ca="1"/>
        <v>1</v>
      </c>
      <c r="AD18" s="13">
        <f ca="1"/>
        <v>1</v>
      </c>
      <c r="AE18" s="13">
        <f ca="1"/>
        <v>1</v>
      </c>
      <c r="AF18" s="13">
        <f ca="1"/>
        <v>1</v>
      </c>
      <c r="AG18" s="13">
        <f ca="1"/>
        <v>1</v>
      </c>
      <c r="AH18" s="13">
        <f ca="1"/>
        <v>1</v>
      </c>
      <c r="AI18" s="13">
        <f ca="1"/>
        <v>1</v>
      </c>
      <c r="AJ18" s="13">
        <f ca="1"/>
        <v>1</v>
      </c>
      <c r="AK18" s="13">
        <f ca="1"/>
        <v>1</v>
      </c>
      <c r="AL18" s="13">
        <f ca="1"/>
        <v>1</v>
      </c>
      <c r="AM18" s="13">
        <f ca="1"/>
        <v>1</v>
      </c>
      <c r="AN18" s="13">
        <f ca="1"/>
        <v>1</v>
      </c>
      <c r="AO18" s="13">
        <f ca="1"/>
        <v>1</v>
      </c>
      <c r="AP18" s="13">
        <f ca="1"/>
        <v>1</v>
      </c>
    </row>
    <row r="20" spans="2:42" x14ac:dyDescent="0.25">
      <c r="C20" s="2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</sheetData>
  <mergeCells count="1">
    <mergeCell ref="D11:F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Epicicloide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Ángel Martínez Lorenzo</dc:creator>
  <cp:lastModifiedBy>chedraui</cp:lastModifiedBy>
  <dcterms:created xsi:type="dcterms:W3CDTF">2021-10-21T15:04:28Z</dcterms:created>
  <dcterms:modified xsi:type="dcterms:W3CDTF">2024-02-10T20:28:49Z</dcterms:modified>
</cp:coreProperties>
</file>