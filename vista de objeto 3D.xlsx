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hedraui\Downloads\Palacios Segovia Jorge Manuel - 192H17131\Unidad II\"/>
    </mc:Choice>
  </mc:AlternateContent>
  <bookViews>
    <workbookView xWindow="0" yWindow="0" windowWidth="20490" windowHeight="7740"/>
  </bookViews>
  <sheets>
    <sheet name="Hoja1" sheetId="1" r:id="rId1"/>
  </sheets>
  <calcPr calcId="152511" iterate="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2" i="1" l="1"/>
  <c r="J12" i="1"/>
  <c r="H12" i="1"/>
  <c r="I4" i="1"/>
  <c r="J4" i="1"/>
  <c r="H4" i="1"/>
  <c r="H5" i="1" l="1"/>
  <c r="H15" i="1" s="1"/>
  <c r="H6" i="1"/>
  <c r="J15" i="1" l="1"/>
  <c r="J17" i="1"/>
  <c r="H17" i="1"/>
  <c r="J23" i="1"/>
  <c r="I23" i="1"/>
  <c r="I22" i="1"/>
  <c r="J22" i="1"/>
  <c r="H27" i="1" l="1" a="1"/>
  <c r="H27" i="1" s="1"/>
  <c r="M2" i="1" s="1" a="1"/>
  <c r="M2" i="1" s="1"/>
  <c r="K30" i="1"/>
  <c r="J30" i="1"/>
  <c r="I30" i="1"/>
  <c r="H30" i="1"/>
  <c r="K29" i="1"/>
  <c r="J29" i="1"/>
  <c r="I29" i="1"/>
  <c r="H29" i="1"/>
  <c r="K28" i="1"/>
  <c r="J28" i="1"/>
  <c r="I28" i="1"/>
  <c r="H28" i="1"/>
  <c r="K27" i="1"/>
  <c r="J27" i="1"/>
  <c r="I27" i="1"/>
  <c r="P24" i="1"/>
  <c r="O24" i="1"/>
  <c r="N24" i="1"/>
  <c r="M24" i="1"/>
  <c r="P23" i="1"/>
  <c r="O23" i="1"/>
  <c r="N23" i="1"/>
  <c r="M23" i="1"/>
  <c r="P22" i="1"/>
  <c r="O22" i="1"/>
  <c r="N22" i="1"/>
  <c r="M22" i="1"/>
  <c r="P21" i="1"/>
  <c r="O21" i="1"/>
  <c r="N21" i="1"/>
  <c r="M21" i="1"/>
  <c r="P20" i="1"/>
  <c r="O20" i="1"/>
  <c r="N20" i="1"/>
  <c r="M20" i="1"/>
  <c r="P19" i="1"/>
  <c r="O19" i="1"/>
  <c r="N19" i="1"/>
  <c r="M19" i="1"/>
  <c r="P18" i="1"/>
  <c r="O18" i="1"/>
  <c r="N18" i="1"/>
  <c r="M18" i="1"/>
  <c r="P17" i="1"/>
  <c r="O17" i="1"/>
  <c r="N17" i="1"/>
  <c r="M17" i="1"/>
  <c r="P16" i="1"/>
  <c r="O16" i="1"/>
  <c r="N16" i="1"/>
  <c r="M16" i="1"/>
  <c r="P15" i="1"/>
  <c r="O15" i="1"/>
  <c r="N15" i="1"/>
  <c r="M15" i="1"/>
  <c r="P14" i="1"/>
  <c r="O14" i="1"/>
  <c r="N14" i="1"/>
  <c r="M14" i="1"/>
  <c r="P13" i="1"/>
  <c r="O13" i="1"/>
  <c r="N13" i="1"/>
  <c r="M13" i="1"/>
  <c r="P12" i="1"/>
  <c r="O12" i="1"/>
  <c r="N12" i="1"/>
  <c r="M12" i="1"/>
  <c r="P11" i="1"/>
  <c r="O11" i="1"/>
  <c r="N11" i="1"/>
  <c r="M11" i="1"/>
  <c r="P10" i="1"/>
  <c r="O10" i="1"/>
  <c r="N10" i="1"/>
  <c r="M10" i="1"/>
  <c r="P9" i="1"/>
  <c r="O9" i="1"/>
  <c r="N9" i="1"/>
  <c r="M9" i="1"/>
  <c r="P8" i="1"/>
  <c r="O8" i="1"/>
  <c r="N8" i="1"/>
  <c r="M8" i="1"/>
  <c r="P7" i="1"/>
  <c r="O7" i="1"/>
  <c r="N7" i="1"/>
  <c r="M7" i="1"/>
  <c r="P6" i="1"/>
  <c r="O6" i="1"/>
  <c r="N6" i="1"/>
  <c r="M6" i="1"/>
  <c r="P5" i="1"/>
  <c r="O5" i="1"/>
  <c r="N5" i="1"/>
  <c r="M5" i="1"/>
  <c r="P4" i="1"/>
  <c r="O4" i="1"/>
  <c r="N4" i="1"/>
  <c r="M4" i="1"/>
  <c r="P3" i="1"/>
  <c r="O3" i="1"/>
  <c r="N3" i="1"/>
  <c r="M3" i="1"/>
  <c r="P2" i="1"/>
  <c r="O2" i="1"/>
  <c r="N2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<sst xmlns="http://schemas.openxmlformats.org/spreadsheetml/2006/main" count="43" uniqueCount="37">
  <si>
    <t>x</t>
  </si>
  <si>
    <t>y</t>
  </si>
  <si>
    <t>z</t>
  </si>
  <si>
    <t>from</t>
  </si>
  <si>
    <t>AT</t>
  </si>
  <si>
    <t>dirección</t>
  </si>
  <si>
    <t>giro</t>
  </si>
  <si>
    <t>elevación</t>
  </si>
  <si>
    <t>matriz traslacion</t>
  </si>
  <si>
    <t>matriz rotacion y (giro)</t>
  </si>
  <si>
    <t>matriz rotacion x (elevacion)</t>
  </si>
  <si>
    <t>matriz IDA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</si>
  <si>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</si>
  <si>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</si>
  <si>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</si>
  <si>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</si>
  <si>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</si>
  <si>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</si>
  <si>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</si>
  <si>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</si>
  <si>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</si>
  <si>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</si>
  <si>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</si>
  <si>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</si>
  <si>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</si>
  <si>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</si>
  <si>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ñ</t>
  </si>
  <si>
    <t>o</t>
  </si>
  <si>
    <t>p</t>
  </si>
  <si>
    <t>q</t>
  </si>
  <si>
    <t>r</t>
  </si>
  <si>
    <t>s</t>
  </si>
  <si>
    <t>t</t>
  </si>
  <si>
    <t>u</t>
  </si>
  <si>
    <t>v</t>
  </si>
  <si>
    <t xml:space="preserve">    </t>
  </si>
  <si>
    <t xml:space="preserve">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</si>
</sst>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2" borderId="3" xfId="0" applyFill="1" applyBorder="1" applyAlignment="1">
      <alignment horizontal="center"/>
    </xf>
    <xf numFmtId="164" fontId="0" fillId="0" borderId="1" xfId="0" applyNumberFormat="1" applyBorder="1"/>
    <xf numFmtId="1" fontId="0" fillId="0" borderId="1" xfId="0" applyNumberFormat="1" applyBorder="1"/>
    <xf numFmtId="2" fontId="0" fillId="0" borderId="1" xfId="0" applyNumberFormat="1" applyBorder="1"/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Hoja1!$C$1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Hoja1!$B$2:$B$24</c:f>
              <c:numCache>
                <c:formatCode>General</c:formatCode>
                <c:ptCount val="23"/>
                <c:pt idx="0">
                  <c:v>-3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-3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-2</c:v>
                </c:pt>
                <c:pt idx="14">
                  <c:v>-2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3</c:v>
                </c:pt>
                <c:pt idx="21">
                  <c:v>2</c:v>
                </c:pt>
                <c:pt idx="22">
                  <c:v>1</c:v>
                </c:pt>
              </c:numCache>
            </c:numRef>
          </c:xVal>
          <c:yVal>
            <c:numRef>
              <c:f>Hoja1!$C$2:$C$24</c:f>
              <c:numCache>
                <c:formatCode>General</c:formatCode>
                <c:ptCount val="23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-3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-3</c:v>
                </c:pt>
                <c:pt idx="11">
                  <c:v>0</c:v>
                </c:pt>
                <c:pt idx="12">
                  <c:v>3</c:v>
                </c:pt>
                <c:pt idx="13">
                  <c:v>2</c:v>
                </c:pt>
                <c:pt idx="14">
                  <c:v>-2</c:v>
                </c:pt>
                <c:pt idx="15">
                  <c:v>-2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2</c:v>
                </c:pt>
                <c:pt idx="22">
                  <c:v>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E10-4AFE-B339-B156B0F8F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271344"/>
        <c:axId val="252322984"/>
      </c:scatterChart>
      <c:valAx>
        <c:axId val="252271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2322984"/>
        <c:crosses val="autoZero"/>
        <c:crossBetween val="midCat"/>
      </c:valAx>
      <c:valAx>
        <c:axId val="252322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2271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Hoja1!$M$2:$M$30</c:f>
              <c:numCache>
                <c:formatCode>General</c:formatCode>
                <c:ptCount val="29"/>
                <c:pt idx="0">
                  <c:v>-2.6832815729997477</c:v>
                </c:pt>
                <c:pt idx="1">
                  <c:v>0</c:v>
                </c:pt>
                <c:pt idx="2">
                  <c:v>2.6832815729997477</c:v>
                </c:pt>
                <c:pt idx="3">
                  <c:v>0</c:v>
                </c:pt>
                <c:pt idx="4">
                  <c:v>-2.6832815729997477</c:v>
                </c:pt>
                <c:pt idx="5">
                  <c:v>1.3416407864998738</c:v>
                </c:pt>
                <c:pt idx="6">
                  <c:v>0</c:v>
                </c:pt>
                <c:pt idx="7">
                  <c:v>1.3416407864998738</c:v>
                </c:pt>
                <c:pt idx="8">
                  <c:v>2.6832815729997477</c:v>
                </c:pt>
                <c:pt idx="9">
                  <c:v>1.3416407864998738</c:v>
                </c:pt>
                <c:pt idx="10">
                  <c:v>0</c:v>
                </c:pt>
                <c:pt idx="11">
                  <c:v>1.3416407864998738</c:v>
                </c:pt>
                <c:pt idx="12">
                  <c:v>-0.89442719099991586</c:v>
                </c:pt>
                <c:pt idx="13">
                  <c:v>-2.6832815729997477</c:v>
                </c:pt>
                <c:pt idx="14">
                  <c:v>-2.6832815729997477</c:v>
                </c:pt>
                <c:pt idx="15">
                  <c:v>0.89442719099991586</c:v>
                </c:pt>
                <c:pt idx="16">
                  <c:v>0.89442719099991586</c:v>
                </c:pt>
                <c:pt idx="17">
                  <c:v>1.3416407864998738</c:v>
                </c:pt>
                <c:pt idx="18">
                  <c:v>1.3416407864998738</c:v>
                </c:pt>
                <c:pt idx="19">
                  <c:v>1.7888543819998317</c:v>
                </c:pt>
                <c:pt idx="20">
                  <c:v>2.6832815729997477</c:v>
                </c:pt>
                <c:pt idx="21">
                  <c:v>2.6832815729997477</c:v>
                </c:pt>
                <c:pt idx="22">
                  <c:v>0</c:v>
                </c:pt>
              </c:numCache>
            </c:numRef>
          </c:xVal>
          <c:yVal>
            <c:numRef>
              <c:f>Hoja1!$N$2:$N$30</c:f>
              <c:numCache>
                <c:formatCode>General</c:formatCode>
                <c:ptCount val="29"/>
                <c:pt idx="0">
                  <c:v>-0.58019905025974639</c:v>
                </c:pt>
                <c:pt idx="1">
                  <c:v>2.7049667854501358</c:v>
                </c:pt>
                <c:pt idx="2">
                  <c:v>0.58019905025974639</c:v>
                </c:pt>
                <c:pt idx="3">
                  <c:v>-2.7049667854501358</c:v>
                </c:pt>
                <c:pt idx="4">
                  <c:v>-0.58019905025974639</c:v>
                </c:pt>
                <c:pt idx="5">
                  <c:v>-1.1603981005194928</c:v>
                </c:pt>
                <c:pt idx="6">
                  <c:v>2.7049667854501358</c:v>
                </c:pt>
                <c:pt idx="7">
                  <c:v>-1.1603981005194928</c:v>
                </c:pt>
                <c:pt idx="8">
                  <c:v>0.58019905025974639</c:v>
                </c:pt>
                <c:pt idx="9">
                  <c:v>-1.1603981005194928</c:v>
                </c:pt>
                <c:pt idx="10">
                  <c:v>-2.7049667854501358</c:v>
                </c:pt>
                <c:pt idx="11">
                  <c:v>-1.1603981005194928</c:v>
                </c:pt>
                <c:pt idx="12">
                  <c:v>3.4785655191297975</c:v>
                </c:pt>
                <c:pt idx="13">
                  <c:v>2.1901105571399215</c:v>
                </c:pt>
                <c:pt idx="14">
                  <c:v>-1.4165118234602598</c:v>
                </c:pt>
                <c:pt idx="15">
                  <c:v>-0.64291308978059802</c:v>
                </c:pt>
                <c:pt idx="16">
                  <c:v>1.9967108737200061</c:v>
                </c:pt>
                <c:pt idx="17">
                  <c:v>1.675254328829707</c:v>
                </c:pt>
                <c:pt idx="18">
                  <c:v>1.675254328829707</c:v>
                </c:pt>
                <c:pt idx="19">
                  <c:v>1.2884549619898762</c:v>
                </c:pt>
                <c:pt idx="20">
                  <c:v>0.58019905025974639</c:v>
                </c:pt>
                <c:pt idx="21">
                  <c:v>1.4165118234602598</c:v>
                </c:pt>
                <c:pt idx="22">
                  <c:v>2.770309607399668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96B-4247-83E7-CB8521107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1795056"/>
        <c:axId val="252609704"/>
      </c:scatterChart>
      <c:valAx>
        <c:axId val="251795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2609704"/>
        <c:crosses val="autoZero"/>
        <c:crossBetween val="midCat"/>
      </c:valAx>
      <c:valAx>
        <c:axId val="252609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1795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523875</xdr:colOff>
      <xdr:row>0</xdr:row>
      <xdr:rowOff>161925</xdr:rowOff>
    </xdr:from>
    <xdr:to>
      <xdr:col>23</xdr:col>
      <xdr:colOff>390525</xdr:colOff>
      <xdr:row>15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xmlns="" id="{58E1D189-1913-ECEB-16F0-0E44BD3C11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523875</xdr:colOff>
      <xdr:row>15</xdr:row>
      <xdr:rowOff>128587</xdr:rowOff>
    </xdr:from>
    <xdr:to>
      <xdr:col>23</xdr:col>
      <xdr:colOff>523875</xdr:colOff>
      <xdr:row>30</xdr:row>
      <xdr:rowOff>14287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xmlns="" id="{F673B6ED-84C1-0CE1-B057-26593A9798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0"/>
  <sheetViews>
    <sheetView tabSelected="1" workbookViewId="0">
      <selection activeCell="M2" sqref="M2:P24"/>
    </sheetView>
  </sheetViews>
  <sheetFormatPr baseColWidth="10" defaultRowHeight="15" x14ac:dyDescent="0.25"/>
  <cols>
    <col min="1" max="1" width="2.28515625" customWidth="1"/>
    <col min="2" max="5" width="5.7109375" customWidth="1"/>
    <col min="6" max="6" width="3.28515625" customWidth="1"/>
    <col min="7" max="7" width="9.42578125" customWidth="1"/>
    <col min="8" max="11" width="5.7109375" customWidth="1"/>
    <col min="12" max="12" width="2.85546875" customWidth="1"/>
    <col min="13" max="16" width="5.7109375" customWidth="1"/>
    <col min="17" max="17" width="4.140625" customWidth="1"/>
  </cols>
  <sheetData>
    <row r="1" spans="1:25" x14ac:dyDescent="0.25">
      <c r="B1" s="1" t="s">
        <v>0</v>
      </c>
      <c r="C1" s="1" t="s">
        <v>1</v>
      </c>
      <c r="D1" s="1" t="s">
        <v>2</v>
      </c>
      <c r="E1" s="2">
        <v>1</v>
      </c>
      <c r="G1" s="4"/>
      <c r="H1" s="2" t="s">
        <v>0</v>
      </c>
      <c r="I1" s="2" t="s">
        <v>1</v>
      </c>
      <c r="J1" s="2" t="s">
        <v>2</v>
      </c>
      <c r="M1" s="5" t="s">
        <v>0</v>
      </c>
      <c r="N1" s="5" t="s">
        <v>1</v>
      </c>
      <c r="O1" s="5" t="s">
        <v>2</v>
      </c>
      <c r="P1" s="5">
        <v>1</v>
      </c>
    </row>
    <row r="2" spans="1:25" x14ac:dyDescent="0.25">
      <c r="A2" t="s">
        <v>12</v>
      </c>
      <c r="B2" s="2">
        <v>-3</v>
      </c>
      <c r="C2" s="2">
        <v>0</v>
      </c>
      <c r="D2" s="2">
        <v>0</v>
      </c>
      <c r="E2" s="2">
        <v>1</v>
      </c>
      <c r="G2" s="5" t="s">
        <v>3</v>
      </c>
      <c r="H2" s="2">
        <v>10</v>
      </c>
      <c r="I2" s="2">
        <v>5</v>
      </c>
      <c r="J2" s="2">
        <v>5</v>
      </c>
      <c r="M2" cm="1">
        <f t="array" ref="M2:P24">MMULT(B2:E24,H27:K30)</f>
        <v>-2.6832815729997477</v>
      </c>
      <c r="N2">
        <v>-0.58019905025974639</v>
      </c>
      <c r="O2">
        <v>1.2096979218291186</v>
      </c>
      <c r="P2">
        <v>1</v>
      </c>
    </row>
    <row r="3" spans="1:25" x14ac:dyDescent="0.25">
      <c r="A3" t="s">
        <v>13</v>
      </c>
      <c r="B3" s="2">
        <v>0</v>
      </c>
      <c r="C3" s="2">
        <v>3</v>
      </c>
      <c r="D3" s="2">
        <v>0</v>
      </c>
      <c r="E3" s="2">
        <v>1</v>
      </c>
      <c r="G3" s="2" t="s">
        <v>4</v>
      </c>
      <c r="H3" s="2">
        <v>0</v>
      </c>
      <c r="I3" s="2">
        <v>0</v>
      </c>
      <c r="J3" s="2">
        <v>0</v>
      </c>
      <c r="M3">
        <v>0</v>
      </c>
      <c r="N3">
        <v>2.7049667854501358</v>
      </c>
      <c r="O3">
        <v>1.2973645168616099</v>
      </c>
      <c r="P3">
        <v>1</v>
      </c>
    </row>
    <row r="4" spans="1:25" x14ac:dyDescent="0.25">
      <c r="A4" t="s">
        <v>14</v>
      </c>
      <c r="B4" s="2">
        <v>3</v>
      </c>
      <c r="C4" s="2">
        <v>0</v>
      </c>
      <c r="D4" s="2">
        <v>0</v>
      </c>
      <c r="E4" s="2">
        <v>1</v>
      </c>
      <c r="G4" s="2" t="s">
        <v>5</v>
      </c>
      <c r="H4" s="2">
        <f>H2-H3</f>
        <v>10</v>
      </c>
      <c r="I4" s="2">
        <f t="shared" ref="I4:J4" si="0">I2-I3</f>
        <v>5</v>
      </c>
      <c r="J4" s="2">
        <f t="shared" si="0"/>
        <v>5</v>
      </c>
      <c r="M4">
        <v>2.6832815729997477</v>
      </c>
      <c r="N4">
        <v>0.58019905025974639</v>
      </c>
      <c r="O4">
        <v>-1.2096979218291186</v>
      </c>
      <c r="P4">
        <v>1</v>
      </c>
    </row>
    <row r="5" spans="1:25" x14ac:dyDescent="0.25">
      <c r="A5" t="s">
        <v>15</v>
      </c>
      <c r="B5" s="2">
        <v>0</v>
      </c>
      <c r="C5" s="2">
        <v>-3</v>
      </c>
      <c r="D5" s="2">
        <v>0</v>
      </c>
      <c r="E5" s="2">
        <v>1</v>
      </c>
      <c r="G5" s="2" t="s">
        <v>6</v>
      </c>
      <c r="H5" s="8">
        <f>ATAN2(H4,J4)</f>
        <v>0.46364760900080609</v>
      </c>
      <c r="I5" s="3"/>
      <c r="J5" s="3"/>
      <c r="M5">
        <v>0</v>
      </c>
      <c r="N5">
        <v>-2.7049667854501358</v>
      </c>
      <c r="O5">
        <v>-1.2973645168616099</v>
      </c>
      <c r="P5">
        <v>1</v>
      </c>
    </row>
    <row r="6" spans="1:25" x14ac:dyDescent="0.25">
      <c r="A6" t="s">
        <v>16</v>
      </c>
      <c r="B6" s="2">
        <v>-3</v>
      </c>
      <c r="C6" s="2">
        <v>0</v>
      </c>
      <c r="D6" s="2">
        <v>0</v>
      </c>
      <c r="E6" s="2">
        <v>1</v>
      </c>
      <c r="G6" s="2" t="s">
        <v>7</v>
      </c>
      <c r="H6" s="2">
        <f>I4/SQRT(POWER(H4,2)+POWER(J4,2))</f>
        <v>0.44721359549995793</v>
      </c>
      <c r="I6" s="3"/>
      <c r="J6" s="3"/>
      <c r="M6">
        <v>-2.6832815729997477</v>
      </c>
      <c r="N6">
        <v>-0.58019905025974639</v>
      </c>
      <c r="O6">
        <v>1.2096979218291186</v>
      </c>
      <c r="P6">
        <v>1</v>
      </c>
    </row>
    <row r="7" spans="1:25" x14ac:dyDescent="0.25">
      <c r="A7" t="s">
        <v>17</v>
      </c>
      <c r="B7" s="2">
        <v>0</v>
      </c>
      <c r="C7" s="2">
        <v>0</v>
      </c>
      <c r="D7" s="2">
        <v>3</v>
      </c>
      <c r="E7" s="2">
        <v>1</v>
      </c>
      <c r="M7">
        <v>1.3416407864998738</v>
      </c>
      <c r="N7">
        <v>-1.1603981005194928</v>
      </c>
      <c r="O7">
        <v>2.4193958436582372</v>
      </c>
      <c r="P7">
        <v>1</v>
      </c>
    </row>
    <row r="8" spans="1:25" x14ac:dyDescent="0.25">
      <c r="A8" t="s">
        <v>18</v>
      </c>
      <c r="B8" s="2">
        <v>0</v>
      </c>
      <c r="C8" s="2">
        <v>3</v>
      </c>
      <c r="D8" s="2">
        <v>0</v>
      </c>
      <c r="E8" s="2">
        <v>1</v>
      </c>
      <c r="G8" s="9" t="s">
        <v>8</v>
      </c>
      <c r="H8" s="10"/>
      <c r="M8">
        <v>0</v>
      </c>
      <c r="N8">
        <v>2.7049667854501358</v>
      </c>
      <c r="O8">
        <v>1.2973645168616099</v>
      </c>
      <c r="P8">
        <v>1</v>
      </c>
    </row>
    <row r="9" spans="1:25" x14ac:dyDescent="0.25">
      <c r="A9" t="s">
        <v>19</v>
      </c>
      <c r="B9" s="2">
        <v>0</v>
      </c>
      <c r="C9" s="2">
        <v>0</v>
      </c>
      <c r="D9" s="2">
        <v>3</v>
      </c>
      <c r="E9" s="2">
        <v>1</v>
      </c>
      <c r="H9" s="2">
        <v>1</v>
      </c>
      <c r="I9" s="2">
        <v>0</v>
      </c>
      <c r="J9" s="2">
        <v>0</v>
      </c>
      <c r="K9" s="2">
        <v>0</v>
      </c>
      <c r="M9">
        <v>1.3416407864998738</v>
      </c>
      <c r="N9">
        <v>-1.1603981005194928</v>
      </c>
      <c r="O9">
        <v>2.4193958436582372</v>
      </c>
      <c r="P9">
        <v>1</v>
      </c>
    </row>
    <row r="10" spans="1:25" x14ac:dyDescent="0.25">
      <c r="A10" t="s">
        <v>20</v>
      </c>
      <c r="B10" s="2">
        <v>3</v>
      </c>
      <c r="C10" s="2">
        <v>0</v>
      </c>
      <c r="D10" s="2">
        <v>0</v>
      </c>
      <c r="E10" s="2">
        <v>1</v>
      </c>
      <c r="H10" s="2">
        <v>0</v>
      </c>
      <c r="I10" s="2">
        <v>1</v>
      </c>
      <c r="J10" s="2">
        <v>0</v>
      </c>
      <c r="K10" s="2">
        <v>0</v>
      </c>
      <c r="M10">
        <v>2.6832815729997477</v>
      </c>
      <c r="N10">
        <v>0.58019905025974639</v>
      </c>
      <c r="O10">
        <v>-1.2096979218291186</v>
      </c>
      <c r="P10">
        <v>1</v>
      </c>
    </row>
    <row r="11" spans="1:25" x14ac:dyDescent="0.25">
      <c r="A11" t="s">
        <v>21</v>
      </c>
      <c r="B11" s="2">
        <v>0</v>
      </c>
      <c r="C11" s="2">
        <v>0</v>
      </c>
      <c r="D11" s="2">
        <v>3</v>
      </c>
      <c r="E11" s="2">
        <v>1</v>
      </c>
      <c r="H11" s="2">
        <v>0</v>
      </c>
      <c r="I11" s="2">
        <v>0</v>
      </c>
      <c r="J11" s="2">
        <v>1</v>
      </c>
      <c r="K11" s="2">
        <v>0</v>
      </c>
      <c r="M11">
        <v>1.3416407864998738</v>
      </c>
      <c r="N11">
        <v>-1.1603981005194928</v>
      </c>
      <c r="O11">
        <v>2.4193958436582372</v>
      </c>
      <c r="P11">
        <v>1</v>
      </c>
    </row>
    <row r="12" spans="1:25" x14ac:dyDescent="0.25">
      <c r="A12" t="s">
        <v>22</v>
      </c>
      <c r="B12" s="2">
        <v>0</v>
      </c>
      <c r="C12" s="2">
        <v>-3</v>
      </c>
      <c r="D12" s="2">
        <v>0</v>
      </c>
      <c r="E12" s="2">
        <v>1</v>
      </c>
      <c r="H12" s="2">
        <f>-H3</f>
        <v>0</v>
      </c>
      <c r="I12" s="2">
        <f t="shared" ref="I12:J12" si="1">-I3</f>
        <v>0</v>
      </c>
      <c r="J12" s="2">
        <f t="shared" si="1"/>
        <v>0</v>
      </c>
      <c r="K12" s="2">
        <v>1</v>
      </c>
      <c r="M12">
        <v>0</v>
      </c>
      <c r="N12">
        <v>-2.7049667854501358</v>
      </c>
      <c r="O12">
        <v>-1.2973645168616099</v>
      </c>
      <c r="P12">
        <v>1</v>
      </c>
    </row>
    <row r="13" spans="1:25" x14ac:dyDescent="0.25">
      <c r="A13" t="s">
        <v>23</v>
      </c>
      <c r="B13" s="2">
        <v>0</v>
      </c>
      <c r="C13" s="2">
        <v>0</v>
      </c>
      <c r="D13" s="2">
        <v>3</v>
      </c>
      <c r="E13" s="2">
        <v>1</v>
      </c>
      <c r="M13">
        <v>1.3416407864998738</v>
      </c>
      <c r="N13">
        <v>-1.1603981005194928</v>
      </c>
      <c r="O13">
        <v>2.4193958436582372</v>
      </c>
      <c r="P13">
        <v>1</v>
      </c>
    </row>
    <row r="14" spans="1:25" x14ac:dyDescent="0.25">
      <c r="A14" t="s">
        <v>24</v>
      </c>
      <c r="B14" s="2">
        <v>0</v>
      </c>
      <c r="C14" s="2">
        <v>3</v>
      </c>
      <c r="D14" s="2">
        <v>-2</v>
      </c>
      <c r="E14" s="2">
        <v>1</v>
      </c>
      <c r="G14" s="11" t="s">
        <v>9</v>
      </c>
      <c r="H14" s="11"/>
      <c r="I14" s="11"/>
      <c r="M14">
        <v>-0.89442719099991586</v>
      </c>
      <c r="N14">
        <v>3.4785655191297975</v>
      </c>
      <c r="O14">
        <v>-0.3155660455772149</v>
      </c>
      <c r="P14">
        <v>1</v>
      </c>
    </row>
    <row r="15" spans="1:25" x14ac:dyDescent="0.25">
      <c r="A15" t="s">
        <v>25</v>
      </c>
      <c r="B15" s="2">
        <v>-2</v>
      </c>
      <c r="C15" s="2">
        <v>2</v>
      </c>
      <c r="D15" s="2">
        <v>-2</v>
      </c>
      <c r="E15" s="2">
        <v>1</v>
      </c>
      <c r="H15" s="6">
        <f>COS($H$5)</f>
        <v>0.89442719099991586</v>
      </c>
      <c r="I15" s="2">
        <v>0</v>
      </c>
      <c r="J15" s="6">
        <f>-SIN($H$5)</f>
        <v>-0.44721359549995793</v>
      </c>
      <c r="K15" s="2">
        <v>0</v>
      </c>
      <c r="M15">
        <v>-2.6832815729997477</v>
      </c>
      <c r="N15">
        <v>2.1901105571399215</v>
      </c>
      <c r="O15">
        <v>5.8444396688327682E-2</v>
      </c>
      <c r="P15">
        <v>1</v>
      </c>
      <c r="Y15" t="s">
        <v>36</v>
      </c>
    </row>
    <row r="16" spans="1:25" x14ac:dyDescent="0.25">
      <c r="A16" t="s">
        <v>26</v>
      </c>
      <c r="B16" s="2">
        <v>-2</v>
      </c>
      <c r="C16" s="2">
        <v>-2</v>
      </c>
      <c r="D16" s="2">
        <v>-2</v>
      </c>
      <c r="E16" s="2">
        <v>1</v>
      </c>
      <c r="H16" s="2">
        <v>0</v>
      </c>
      <c r="I16" s="2">
        <v>1</v>
      </c>
      <c r="J16" s="2">
        <v>0</v>
      </c>
      <c r="K16" s="2">
        <v>0</v>
      </c>
      <c r="M16">
        <v>-2.6832815729997477</v>
      </c>
      <c r="N16">
        <v>-1.4165118234602598</v>
      </c>
      <c r="O16">
        <v>-1.6713749591271525</v>
      </c>
      <c r="P16">
        <v>1</v>
      </c>
    </row>
    <row r="17" spans="1:25" x14ac:dyDescent="0.25">
      <c r="A17" t="s">
        <v>27</v>
      </c>
      <c r="B17" s="2">
        <v>2</v>
      </c>
      <c r="C17" s="2">
        <v>-2</v>
      </c>
      <c r="D17" s="2">
        <v>-2</v>
      </c>
      <c r="E17" s="2">
        <v>1</v>
      </c>
      <c r="H17" s="6">
        <f>SIN(H5)</f>
        <v>0.44721359549995793</v>
      </c>
      <c r="I17" s="2">
        <v>0</v>
      </c>
      <c r="J17" s="6">
        <f>COS($H$5)</f>
        <v>0.89442719099991586</v>
      </c>
      <c r="K17" s="2">
        <v>0</v>
      </c>
      <c r="M17">
        <v>0.89442719099991586</v>
      </c>
      <c r="N17">
        <v>-0.64291308978059802</v>
      </c>
      <c r="O17">
        <v>-3.2843055215659773</v>
      </c>
      <c r="P17">
        <v>1</v>
      </c>
    </row>
    <row r="18" spans="1:25" x14ac:dyDescent="0.25">
      <c r="A18" t="s">
        <v>28</v>
      </c>
      <c r="B18" s="2">
        <v>1</v>
      </c>
      <c r="C18" s="2">
        <v>2</v>
      </c>
      <c r="D18" s="2">
        <v>0</v>
      </c>
      <c r="E18" s="2">
        <v>1</v>
      </c>
      <c r="H18" s="2">
        <v>0</v>
      </c>
      <c r="I18" s="2">
        <v>0</v>
      </c>
      <c r="J18" s="2">
        <v>0</v>
      </c>
      <c r="K18" s="2">
        <v>1</v>
      </c>
      <c r="M18">
        <v>0.89442719099991586</v>
      </c>
      <c r="N18">
        <v>1.9967108737200061</v>
      </c>
      <c r="O18">
        <v>0.46167703729803378</v>
      </c>
      <c r="P18">
        <v>1</v>
      </c>
    </row>
    <row r="19" spans="1:25" x14ac:dyDescent="0.25">
      <c r="A19" t="s">
        <v>29</v>
      </c>
      <c r="B19" s="2">
        <v>2</v>
      </c>
      <c r="C19" s="2">
        <v>1</v>
      </c>
      <c r="D19" s="2">
        <v>-1</v>
      </c>
      <c r="E19" s="2">
        <v>1</v>
      </c>
      <c r="M19">
        <v>1.3416407864998738</v>
      </c>
      <c r="N19">
        <v>1.675254328829707</v>
      </c>
      <c r="O19">
        <v>-1.1804757234849548</v>
      </c>
      <c r="P19">
        <v>1</v>
      </c>
    </row>
    <row r="20" spans="1:25" x14ac:dyDescent="0.25">
      <c r="A20" t="s">
        <v>30</v>
      </c>
      <c r="B20" s="2">
        <v>2</v>
      </c>
      <c r="C20" s="2">
        <v>1</v>
      </c>
      <c r="D20" s="2">
        <v>-1</v>
      </c>
      <c r="E20" s="2">
        <v>1</v>
      </c>
      <c r="G20" s="11" t="s">
        <v>10</v>
      </c>
      <c r="H20" s="11"/>
      <c r="I20" s="11"/>
      <c r="J20" s="11"/>
      <c r="M20">
        <v>1.3416407864998738</v>
      </c>
      <c r="N20">
        <v>1.675254328829707</v>
      </c>
      <c r="O20">
        <v>-1.1804757234849548</v>
      </c>
      <c r="P20">
        <v>1</v>
      </c>
    </row>
    <row r="21" spans="1:25" x14ac:dyDescent="0.25">
      <c r="A21" t="s">
        <v>31</v>
      </c>
      <c r="B21" s="2">
        <v>2</v>
      </c>
      <c r="C21" s="2">
        <v>1</v>
      </c>
      <c r="D21" s="2">
        <v>0</v>
      </c>
      <c r="E21" s="2">
        <v>1</v>
      </c>
      <c r="H21" s="6">
        <v>1</v>
      </c>
      <c r="I21" s="2">
        <v>0</v>
      </c>
      <c r="J21" s="7">
        <v>0</v>
      </c>
      <c r="K21" s="2">
        <v>0</v>
      </c>
      <c r="M21">
        <v>1.7888543819998317</v>
      </c>
      <c r="N21">
        <v>1.2884549619898762</v>
      </c>
      <c r="O21">
        <v>-0.37401044226554242</v>
      </c>
      <c r="P21">
        <v>1</v>
      </c>
    </row>
    <row r="22" spans="1:25" x14ac:dyDescent="0.25">
      <c r="A22" t="s">
        <v>32</v>
      </c>
      <c r="B22" s="2">
        <v>3</v>
      </c>
      <c r="C22" s="2">
        <v>0</v>
      </c>
      <c r="D22" s="2">
        <v>0</v>
      </c>
      <c r="E22" s="2">
        <v>1</v>
      </c>
      <c r="H22" s="2">
        <v>0</v>
      </c>
      <c r="I22" s="2">
        <f>COS(H6)</f>
        <v>0.90165559515004534</v>
      </c>
      <c r="J22" s="8">
        <f>SIN(H6)</f>
        <v>0.43245483895386999</v>
      </c>
      <c r="K22" s="2">
        <v>0</v>
      </c>
      <c r="M22">
        <v>2.6832815729997477</v>
      </c>
      <c r="N22">
        <v>0.58019905025974639</v>
      </c>
      <c r="O22">
        <v>-1.2096979218291186</v>
      </c>
      <c r="P22">
        <v>1</v>
      </c>
    </row>
    <row r="23" spans="1:25" x14ac:dyDescent="0.25">
      <c r="A23" t="s">
        <v>33</v>
      </c>
      <c r="B23" s="2">
        <v>2</v>
      </c>
      <c r="C23" s="2">
        <v>2</v>
      </c>
      <c r="D23" s="2">
        <v>2</v>
      </c>
      <c r="E23" s="2">
        <v>1</v>
      </c>
      <c r="H23" s="7">
        <v>0</v>
      </c>
      <c r="I23" s="2">
        <f>-SIN(H6)</f>
        <v>-0.43245483895386999</v>
      </c>
      <c r="J23" s="6">
        <f>COS(H6)</f>
        <v>0.90165559515004534</v>
      </c>
      <c r="K23" s="2">
        <v>0</v>
      </c>
      <c r="M23">
        <v>2.6832815729997477</v>
      </c>
      <c r="N23">
        <v>1.4165118234602598</v>
      </c>
      <c r="O23">
        <v>1.6713749591271525</v>
      </c>
      <c r="P23">
        <v>1</v>
      </c>
    </row>
    <row r="24" spans="1:25" x14ac:dyDescent="0.25">
      <c r="A24" t="s">
        <v>34</v>
      </c>
      <c r="B24" s="2">
        <v>1</v>
      </c>
      <c r="C24" s="2">
        <v>2</v>
      </c>
      <c r="D24" s="2">
        <v>-2</v>
      </c>
      <c r="E24" s="2">
        <v>1</v>
      </c>
      <c r="H24" s="2">
        <v>0</v>
      </c>
      <c r="I24" s="2">
        <v>0</v>
      </c>
      <c r="J24" s="2">
        <v>0</v>
      </c>
      <c r="K24" s="2">
        <v>1</v>
      </c>
      <c r="M24">
        <v>0</v>
      </c>
      <c r="N24">
        <v>2.770309607399668</v>
      </c>
      <c r="O24">
        <v>-1.1512535251407909</v>
      </c>
      <c r="P24">
        <v>1</v>
      </c>
    </row>
    <row r="26" spans="1:25" x14ac:dyDescent="0.25">
      <c r="G26" s="11" t="s">
        <v>11</v>
      </c>
      <c r="H26" s="11"/>
      <c r="I26" s="11"/>
      <c r="J26" s="11"/>
    </row>
    <row r="27" spans="1:25" x14ac:dyDescent="0.25">
      <c r="H27" s="6" cm="1">
        <f t="array" ref="H27:K30">MMULT(MMULT(H9:K12,H15:K18),H21:K24)</f>
        <v>0.89442719099991586</v>
      </c>
      <c r="I27" s="2">
        <v>0.19339968341991545</v>
      </c>
      <c r="J27" s="7">
        <v>-0.40323264060970621</v>
      </c>
      <c r="K27" s="2">
        <v>0</v>
      </c>
      <c r="Y27" t="s">
        <v>35</v>
      </c>
    </row>
    <row r="28" spans="1:25" x14ac:dyDescent="0.25">
      <c r="H28" s="2">
        <v>0</v>
      </c>
      <c r="I28" s="2">
        <v>0.90165559515004534</v>
      </c>
      <c r="J28" s="8">
        <v>0.43245483895386999</v>
      </c>
      <c r="K28" s="2">
        <v>0</v>
      </c>
    </row>
    <row r="29" spans="1:25" x14ac:dyDescent="0.25">
      <c r="H29" s="7">
        <v>0.44721359549995793</v>
      </c>
      <c r="I29" s="2">
        <v>-0.3867993668398309</v>
      </c>
      <c r="J29" s="6">
        <v>0.80646528121941241</v>
      </c>
      <c r="K29" s="2">
        <v>0</v>
      </c>
    </row>
    <row r="30" spans="1:25" x14ac:dyDescent="0.25">
      <c r="H30" s="2">
        <v>0</v>
      </c>
      <c r="I30" s="2">
        <v>0</v>
      </c>
      <c r="J30" s="2">
        <v>0</v>
      </c>
      <c r="K30" s="2">
        <v>1</v>
      </c>
    </row>
  </sheetData>
  <mergeCells count="4">
    <mergeCell ref="G8:H8"/>
    <mergeCell ref="G14:I14"/>
    <mergeCell ref="G20:J20"/>
    <mergeCell ref="G26:J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Manuel Palacios Segovia</dc:creator>
  <cp:lastModifiedBy>chedraui</cp:lastModifiedBy>
  <dcterms:created xsi:type="dcterms:W3CDTF">2022-05-19T15:26:48Z</dcterms:created>
  <dcterms:modified xsi:type="dcterms:W3CDTF">2024-02-04T21:31:39Z</dcterms:modified>
</cp:coreProperties>
</file>