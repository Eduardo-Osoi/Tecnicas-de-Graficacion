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NIVERSIDAD\6TO Semestre\Tecnicas de graficación\Martinez Lorenzo Luis Ángel-192H17120\Unidad ll\"/>
    </mc:Choice>
  </mc:AlternateContent>
  <xr:revisionPtr revIDLastSave="0" documentId="13_ncr:1_{71ACA65D-8DF3-420F-A914-36F113414DD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OBJETO 3D" sheetId="1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1" l="1"/>
  <c r="I12" i="11"/>
  <c r="H12" i="11"/>
  <c r="G12" i="11"/>
  <c r="I4" i="11"/>
  <c r="H4" i="11"/>
  <c r="G4" i="11"/>
  <c r="G5" i="11" l="1"/>
  <c r="I16" i="11" s="1"/>
  <c r="G6" i="11"/>
  <c r="I21" i="11" s="1"/>
  <c r="H5" i="11" l="1"/>
  <c r="G16" i="11" s="1"/>
  <c r="I20" i="11"/>
  <c r="H20" i="11"/>
  <c r="H21" i="11"/>
  <c r="I14" i="11"/>
  <c r="G14" i="11" l="1"/>
  <c r="G24" i="11" a="1"/>
  <c r="G24" i="11" s="1"/>
  <c r="L2" i="11" s="1" a="1"/>
  <c r="L2" i="11" s="1"/>
  <c r="G29" i="11" l="1" a="1"/>
  <c r="G29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<sst xmlns="http://schemas.openxmlformats.org/spreadsheetml/2006/main" count="21" uniqueCount="18">
  <si>
    <t>x</t>
  </si>
  <si>
    <t>y</t>
  </si>
  <si>
    <t>z</t>
  </si>
  <si>
    <t>W</t>
  </si>
  <si>
    <t>x'</t>
  </si>
  <si>
    <t>y'</t>
  </si>
  <si>
    <t>z'</t>
  </si>
  <si>
    <t>From</t>
  </si>
  <si>
    <t>At</t>
  </si>
  <si>
    <t>Direccion</t>
  </si>
  <si>
    <t>Giro</t>
  </si>
  <si>
    <t>Elevacion</t>
  </si>
  <si>
    <t>Ry(Giro)</t>
  </si>
  <si>
    <t>Rx(Elev)</t>
  </si>
  <si>
    <t>IDA</t>
  </si>
  <si>
    <t>REGRESO</t>
  </si>
  <si>
    <t xml:space="preserve">                     </t>
  </si>
  <si>
    <t>T(-At)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</si>
</sst>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Fill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0" fillId="0" borderId="2" xfId="0" applyFill="1" applyBorder="1"/>
    <xf numFmtId="0" fontId="2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4" fillId="2" borderId="3" xfId="0" applyFont="1" applyFill="1" applyBorder="1"/>
    <xf numFmtId="0" fontId="2" fillId="3" borderId="3" xfId="0" applyFont="1" applyFill="1" applyBorder="1" applyAlignment="1">
      <alignment horizontal="center"/>
    </xf>
    <xf numFmtId="0" fontId="0" fillId="0" borderId="1" xfId="0" applyBorder="1"/>
    <xf numFmtId="0" fontId="3" fillId="2" borderId="3" xfId="0" applyFont="1" applyFill="1" applyBorder="1"/>
    <xf numFmtId="0" fontId="0" fillId="3" borderId="3" xfId="0" applyFill="1" applyBorder="1"/>
    <xf numFmtId="0" fontId="0" fillId="3" borderId="3" xfId="0" applyFont="1" applyFill="1" applyBorder="1"/>
    <xf numFmtId="0" fontId="0" fillId="3" borderId="3" xfId="0" applyFill="1" applyBorder="1" applyAlignment="1">
      <alignment horizontal="right"/>
    </xf>
    <xf numFmtId="0" fontId="0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FF6699"/>
      <color rgb="FFFF3399"/>
      <color rgb="FFF6E7E6"/>
      <color rgb="FFCCFFCC"/>
      <color rgb="FFFFFF99"/>
      <color rgb="FFFFCCFF"/>
      <color rgb="FFFF9900"/>
      <color rgb="FFCCFFFF"/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090481539175914E-2"/>
          <c:y val="1.0287581824657603E-2"/>
          <c:w val="0.88278736362590726"/>
          <c:h val="0.979643483453591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8B5-446D-ACBE-5B24614D429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8B5-446D-ACBE-5B24614D429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B5-446D-ACBE-5B24614D429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B5-446D-ACBE-5B24614D429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8B5-446D-ACBE-5B24614D429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8B5-446D-ACBE-5B24614D429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8B5-446D-ACBE-5B24614D429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8B5-446D-ACBE-5B24614D429B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8B5-446D-ACBE-5B24614D429B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F8B5-446D-ACBE-5B24614D429B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8B5-446D-ACBE-5B24614D429B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F8B5-446D-ACBE-5B24614D429B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8B5-446D-ACBE-5B24614D429B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8B5-446D-ACBE-5B24614D429B}"/>
              </c:ext>
            </c:extLst>
          </c:dPt>
          <c:xVal>
            <c:numRef>
              <c:f>'OBJETO 3D'!$L$2:$L$86</c:f>
              <c:numCache>
                <c:formatCode>General</c:formatCode>
                <c:ptCount val="85"/>
                <c:pt idx="0">
                  <c:v>0.47397150332001858</c:v>
                </c:pt>
                <c:pt idx="1">
                  <c:v>-2.4883503924300974</c:v>
                </c:pt>
                <c:pt idx="2">
                  <c:v>0.47397150332001858</c:v>
                </c:pt>
                <c:pt idx="3">
                  <c:v>3.4362933990701348</c:v>
                </c:pt>
                <c:pt idx="4">
                  <c:v>3.4362933990701348</c:v>
                </c:pt>
                <c:pt idx="5">
                  <c:v>3.4362933990701348</c:v>
                </c:pt>
                <c:pt idx="6">
                  <c:v>3.4362933990701348</c:v>
                </c:pt>
                <c:pt idx="7">
                  <c:v>3.4362933990701348</c:v>
                </c:pt>
                <c:pt idx="8">
                  <c:v>3.4362933990701348</c:v>
                </c:pt>
                <c:pt idx="9">
                  <c:v>3.4362933990701348</c:v>
                </c:pt>
                <c:pt idx="10">
                  <c:v>3.4362933990701348</c:v>
                </c:pt>
                <c:pt idx="11">
                  <c:v>6.3986152948202504</c:v>
                </c:pt>
                <c:pt idx="12">
                  <c:v>6.3986152948202504</c:v>
                </c:pt>
                <c:pt idx="13">
                  <c:v>6.3986152948202504</c:v>
                </c:pt>
                <c:pt idx="14">
                  <c:v>3.4362933990701348</c:v>
                </c:pt>
                <c:pt idx="15">
                  <c:v>-2.4883503924300974</c:v>
                </c:pt>
                <c:pt idx="16">
                  <c:v>-5.4506722881802139</c:v>
                </c:pt>
                <c:pt idx="17">
                  <c:v>-5.4506722881802139</c:v>
                </c:pt>
                <c:pt idx="18">
                  <c:v>-5.4506722881802139</c:v>
                </c:pt>
                <c:pt idx="19">
                  <c:v>-2.4883503924300974</c:v>
                </c:pt>
                <c:pt idx="20">
                  <c:v>-2.4883503924300974</c:v>
                </c:pt>
                <c:pt idx="21">
                  <c:v>-2.4883503924300974</c:v>
                </c:pt>
                <c:pt idx="22">
                  <c:v>-2.4883503924300974</c:v>
                </c:pt>
                <c:pt idx="23">
                  <c:v>-2.4883503924300974</c:v>
                </c:pt>
                <c:pt idx="24">
                  <c:v>-2.4883503924300974</c:v>
                </c:pt>
                <c:pt idx="25">
                  <c:v>-5.4506722881802139</c:v>
                </c:pt>
                <c:pt idx="26">
                  <c:v>-5.4506722881802139</c:v>
                </c:pt>
                <c:pt idx="27">
                  <c:v>-5.4506722881802139</c:v>
                </c:pt>
                <c:pt idx="28">
                  <c:v>-3.9695113403051558</c:v>
                </c:pt>
                <c:pt idx="29">
                  <c:v>-2.4883503924300974</c:v>
                </c:pt>
                <c:pt idx="30">
                  <c:v>0</c:v>
                </c:pt>
                <c:pt idx="31">
                  <c:v>-3.4362933990701348</c:v>
                </c:pt>
                <c:pt idx="32">
                  <c:v>-0.47397150332001858</c:v>
                </c:pt>
                <c:pt idx="33">
                  <c:v>2.4883503924300974</c:v>
                </c:pt>
                <c:pt idx="34">
                  <c:v>2.4883503924300974</c:v>
                </c:pt>
                <c:pt idx="35">
                  <c:v>2.4883503924300974</c:v>
                </c:pt>
                <c:pt idx="36">
                  <c:v>2.4883503924300974</c:v>
                </c:pt>
                <c:pt idx="37">
                  <c:v>2.4883503924300974</c:v>
                </c:pt>
                <c:pt idx="38">
                  <c:v>2.4883503924300974</c:v>
                </c:pt>
                <c:pt idx="39">
                  <c:v>2.4883503924300974</c:v>
                </c:pt>
                <c:pt idx="40">
                  <c:v>2.4883503924300974</c:v>
                </c:pt>
                <c:pt idx="41">
                  <c:v>5.4506722881802139</c:v>
                </c:pt>
                <c:pt idx="42">
                  <c:v>5.4506722881802139</c:v>
                </c:pt>
                <c:pt idx="43">
                  <c:v>5.4506722881802139</c:v>
                </c:pt>
                <c:pt idx="44">
                  <c:v>2.4883503924300974</c:v>
                </c:pt>
                <c:pt idx="45">
                  <c:v>-3.4362933990701348</c:v>
                </c:pt>
                <c:pt idx="46">
                  <c:v>-6.3986152948202504</c:v>
                </c:pt>
                <c:pt idx="47">
                  <c:v>-6.3986152948202504</c:v>
                </c:pt>
                <c:pt idx="48">
                  <c:v>-6.3986152948202504</c:v>
                </c:pt>
                <c:pt idx="49">
                  <c:v>-3.4362933990701348</c:v>
                </c:pt>
                <c:pt idx="50">
                  <c:v>-3.4362933990701348</c:v>
                </c:pt>
                <c:pt idx="51">
                  <c:v>-3.4362933990701348</c:v>
                </c:pt>
                <c:pt idx="52">
                  <c:v>-3.4362933990701348</c:v>
                </c:pt>
                <c:pt idx="53">
                  <c:v>-3.4362933990701348</c:v>
                </c:pt>
                <c:pt idx="54">
                  <c:v>-3.4362933990701348</c:v>
                </c:pt>
                <c:pt idx="55">
                  <c:v>-6.3986152948202504</c:v>
                </c:pt>
                <c:pt idx="56">
                  <c:v>-6.3986152948202504</c:v>
                </c:pt>
                <c:pt idx="57">
                  <c:v>-6.3986152948202504</c:v>
                </c:pt>
                <c:pt idx="58">
                  <c:v>-4.9174543469451928</c:v>
                </c:pt>
                <c:pt idx="59">
                  <c:v>-3.4362933990701348</c:v>
                </c:pt>
                <c:pt idx="60">
                  <c:v>-2.4883503924300974</c:v>
                </c:pt>
                <c:pt idx="61">
                  <c:v>3.4362933990701348</c:v>
                </c:pt>
                <c:pt idx="62">
                  <c:v>2.4883503924300974</c:v>
                </c:pt>
                <c:pt idx="63">
                  <c:v>-5.4506722881802139</c:v>
                </c:pt>
                <c:pt idx="64">
                  <c:v>-6.3986152948202504</c:v>
                </c:pt>
                <c:pt idx="65">
                  <c:v>-5.4506722881802139</c:v>
                </c:pt>
                <c:pt idx="66">
                  <c:v>-6.3986152948202504</c:v>
                </c:pt>
                <c:pt idx="67">
                  <c:v>-2.4883503924300974</c:v>
                </c:pt>
                <c:pt idx="68">
                  <c:v>-3.4362933990701348</c:v>
                </c:pt>
                <c:pt idx="69">
                  <c:v>-2.4883503924300974</c:v>
                </c:pt>
                <c:pt idx="70">
                  <c:v>-3.4362933990701348</c:v>
                </c:pt>
                <c:pt idx="71">
                  <c:v>-2.4883503924300974</c:v>
                </c:pt>
                <c:pt idx="72">
                  <c:v>-3.4362933990701348</c:v>
                </c:pt>
                <c:pt idx="73">
                  <c:v>-5.4506722881802139</c:v>
                </c:pt>
                <c:pt idx="74">
                  <c:v>-6.3986152948202504</c:v>
                </c:pt>
                <c:pt idx="75">
                  <c:v>-5.4506722881802139</c:v>
                </c:pt>
                <c:pt idx="76">
                  <c:v>-6.3986152948202504</c:v>
                </c:pt>
                <c:pt idx="77">
                  <c:v>6.3986152948202504</c:v>
                </c:pt>
                <c:pt idx="78">
                  <c:v>5.4506722881802139</c:v>
                </c:pt>
                <c:pt idx="79">
                  <c:v>6.3986152948202504</c:v>
                </c:pt>
                <c:pt idx="80">
                  <c:v>5.4506722881802139</c:v>
                </c:pt>
                <c:pt idx="81">
                  <c:v>3.4362933990701348</c:v>
                </c:pt>
                <c:pt idx="82">
                  <c:v>2.4883503924300974</c:v>
                </c:pt>
                <c:pt idx="83">
                  <c:v>3.4362933990701348</c:v>
                </c:pt>
                <c:pt idx="84">
                  <c:v>2.4883503924300974</c:v>
                </c:pt>
              </c:numCache>
            </c:numRef>
          </c:xVal>
          <c:yVal>
            <c:numRef>
              <c:f>'OBJETO 3D'!$M$2:$M$86</c:f>
              <c:numCache>
                <c:formatCode>General</c:formatCode>
                <c:ptCount val="85"/>
                <c:pt idx="0">
                  <c:v>-0.46607411354324224</c:v>
                </c:pt>
                <c:pt idx="1">
                  <c:v>27.110626338951061</c:v>
                </c:pt>
                <c:pt idx="2">
                  <c:v>27.18519819711798</c:v>
                </c:pt>
                <c:pt idx="3">
                  <c:v>27.2597700552849</c:v>
                </c:pt>
                <c:pt idx="4">
                  <c:v>21.334497417286066</c:v>
                </c:pt>
                <c:pt idx="5">
                  <c:v>19.35940653795312</c:v>
                </c:pt>
                <c:pt idx="6">
                  <c:v>15.409224779287232</c:v>
                </c:pt>
                <c:pt idx="7">
                  <c:v>10.471497580954871</c:v>
                </c:pt>
                <c:pt idx="8">
                  <c:v>8.4964067016219289</c:v>
                </c:pt>
                <c:pt idx="9">
                  <c:v>6.5213158222889822</c:v>
                </c:pt>
                <c:pt idx="10">
                  <c:v>4.5462249429560373</c:v>
                </c:pt>
                <c:pt idx="11">
                  <c:v>4.6207968011229559</c:v>
                </c:pt>
                <c:pt idx="12">
                  <c:v>2.6457059217900123</c:v>
                </c:pt>
                <c:pt idx="13">
                  <c:v>-0.31693039720940475</c:v>
                </c:pt>
                <c:pt idx="14">
                  <c:v>-0.39150225537632349</c:v>
                </c:pt>
                <c:pt idx="15">
                  <c:v>-0.54064597171016104</c:v>
                </c:pt>
                <c:pt idx="16">
                  <c:v>-0.61521782987707974</c:v>
                </c:pt>
                <c:pt idx="17">
                  <c:v>2.3474184891223371</c:v>
                </c:pt>
                <c:pt idx="18">
                  <c:v>4.3225093684552816</c:v>
                </c:pt>
                <c:pt idx="19">
                  <c:v>4.3970812266222001</c:v>
                </c:pt>
                <c:pt idx="20">
                  <c:v>6.372172105955145</c:v>
                </c:pt>
                <c:pt idx="21">
                  <c:v>10.322353864621032</c:v>
                </c:pt>
                <c:pt idx="22">
                  <c:v>17.235171942286339</c:v>
                </c:pt>
                <c:pt idx="23">
                  <c:v>19.210262821619281</c:v>
                </c:pt>
                <c:pt idx="24">
                  <c:v>21.185353700952227</c:v>
                </c:pt>
                <c:pt idx="25">
                  <c:v>21.110781842785308</c:v>
                </c:pt>
                <c:pt idx="26">
                  <c:v>23.085872722118253</c:v>
                </c:pt>
                <c:pt idx="27">
                  <c:v>24.073418161784723</c:v>
                </c:pt>
                <c:pt idx="28">
                  <c:v>25.592022250367894</c:v>
                </c:pt>
                <c:pt idx="29">
                  <c:v>27.110626338951061</c:v>
                </c:pt>
                <c:pt idx="30">
                  <c:v>0</c:v>
                </c:pt>
                <c:pt idx="31">
                  <c:v>28.042774566037547</c:v>
                </c:pt>
                <c:pt idx="32">
                  <c:v>28.117346424204467</c:v>
                </c:pt>
                <c:pt idx="33">
                  <c:v>28.191918282371386</c:v>
                </c:pt>
                <c:pt idx="34">
                  <c:v>22.266645644372552</c:v>
                </c:pt>
                <c:pt idx="35">
                  <c:v>20.291554765039606</c:v>
                </c:pt>
                <c:pt idx="36">
                  <c:v>16.341373006373718</c:v>
                </c:pt>
                <c:pt idx="37">
                  <c:v>11.403645808041357</c:v>
                </c:pt>
                <c:pt idx="38">
                  <c:v>9.4285549287084116</c:v>
                </c:pt>
                <c:pt idx="39">
                  <c:v>7.4534640493754667</c:v>
                </c:pt>
                <c:pt idx="40">
                  <c:v>5.4783731700425218</c:v>
                </c:pt>
                <c:pt idx="41">
                  <c:v>5.5529450282094404</c:v>
                </c:pt>
                <c:pt idx="42">
                  <c:v>3.5778541488764968</c:v>
                </c:pt>
                <c:pt idx="43">
                  <c:v>0.61521782987707974</c:v>
                </c:pt>
                <c:pt idx="44">
                  <c:v>0.54064597171016104</c:v>
                </c:pt>
                <c:pt idx="45">
                  <c:v>0.39150225537632349</c:v>
                </c:pt>
                <c:pt idx="46">
                  <c:v>0.31693039720940475</c:v>
                </c:pt>
                <c:pt idx="47">
                  <c:v>3.2795667162088216</c:v>
                </c:pt>
                <c:pt idx="48">
                  <c:v>5.254657595541766</c:v>
                </c:pt>
                <c:pt idx="49">
                  <c:v>5.3292294537086846</c:v>
                </c:pt>
                <c:pt idx="50">
                  <c:v>7.3043203330416295</c:v>
                </c:pt>
                <c:pt idx="51">
                  <c:v>11.254502091707518</c:v>
                </c:pt>
                <c:pt idx="52">
                  <c:v>18.167320169372825</c:v>
                </c:pt>
                <c:pt idx="53">
                  <c:v>20.142411048705767</c:v>
                </c:pt>
                <c:pt idx="54">
                  <c:v>22.117501928038713</c:v>
                </c:pt>
                <c:pt idx="55">
                  <c:v>22.042930069871794</c:v>
                </c:pt>
                <c:pt idx="56">
                  <c:v>24.01802094920474</c:v>
                </c:pt>
                <c:pt idx="57">
                  <c:v>25.005566388871209</c:v>
                </c:pt>
                <c:pt idx="58">
                  <c:v>26.52417047745438</c:v>
                </c:pt>
                <c:pt idx="59">
                  <c:v>28.042774566037547</c:v>
                </c:pt>
                <c:pt idx="60">
                  <c:v>27.110626338951061</c:v>
                </c:pt>
                <c:pt idx="61">
                  <c:v>27.2597700552849</c:v>
                </c:pt>
                <c:pt idx="62">
                  <c:v>28.191918282371386</c:v>
                </c:pt>
                <c:pt idx="63">
                  <c:v>24.073418161784723</c:v>
                </c:pt>
                <c:pt idx="64">
                  <c:v>25.005566388871209</c:v>
                </c:pt>
                <c:pt idx="65">
                  <c:v>21.110781842785308</c:v>
                </c:pt>
                <c:pt idx="66">
                  <c:v>22.042930069871794</c:v>
                </c:pt>
                <c:pt idx="67">
                  <c:v>21.185353700952227</c:v>
                </c:pt>
                <c:pt idx="68">
                  <c:v>22.117501928038713</c:v>
                </c:pt>
                <c:pt idx="69">
                  <c:v>4.3970812266222001</c:v>
                </c:pt>
                <c:pt idx="70">
                  <c:v>5.3292294537086846</c:v>
                </c:pt>
                <c:pt idx="71">
                  <c:v>-0.54064597171016104</c:v>
                </c:pt>
                <c:pt idx="72">
                  <c:v>0.39150225537632349</c:v>
                </c:pt>
                <c:pt idx="73">
                  <c:v>4.3225093684552816</c:v>
                </c:pt>
                <c:pt idx="74">
                  <c:v>5.254657595541766</c:v>
                </c:pt>
                <c:pt idx="75">
                  <c:v>-0.61521782987707974</c:v>
                </c:pt>
                <c:pt idx="76">
                  <c:v>0.31693039720940475</c:v>
                </c:pt>
                <c:pt idx="77">
                  <c:v>4.6207968011229559</c:v>
                </c:pt>
                <c:pt idx="78">
                  <c:v>5.5529450282094404</c:v>
                </c:pt>
                <c:pt idx="79">
                  <c:v>-0.31693039720940475</c:v>
                </c:pt>
                <c:pt idx="80">
                  <c:v>0.61521782987707974</c:v>
                </c:pt>
                <c:pt idx="81">
                  <c:v>4.5462249429560373</c:v>
                </c:pt>
                <c:pt idx="82">
                  <c:v>5.4783731700425218</c:v>
                </c:pt>
                <c:pt idx="83">
                  <c:v>-0.39150225537632349</c:v>
                </c:pt>
                <c:pt idx="84">
                  <c:v>0.54064597171016104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5-446D-ACBE-5B24614D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72015"/>
        <c:axId val="998973679"/>
      </c:scatterChart>
      <c:valAx>
        <c:axId val="998972015"/>
        <c:scaling>
          <c:orientation val="minMax"/>
          <c:max val="10"/>
          <c:min val="-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8973679"/>
        <c:crosses val="autoZero"/>
        <c:crossBetween val="midCat"/>
        <c:majorUnit val="2"/>
      </c:valAx>
      <c:valAx>
        <c:axId val="9989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8972015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754630</xdr:colOff>
      <xdr:row>0</xdr:row>
      <xdr:rowOff>120920</xdr:rowOff>
    </xdr:from>
    <xdr:to>
      <xdr:col>20</xdr:col>
      <xdr:colOff>440995</xdr:colOff>
      <xdr:row>35</xdr:row>
      <xdr:rowOff>47626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FBA60E-2A2C-4A2F-A404-0815C7711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1EC6-C48D-48D1-B14C-A202DF26DCE6}">
  <dimension ref="A1:Z271"/>
  <sheetViews>
    <sheetView tabSelected="1" zoomScale="80" zoomScaleNormal="80" workbookViewId="0">
      <selection activeCell="W7" sqref="W7"/>
    </sheetView>
  </sheetViews>
  <sheetFormatPr baseColWidth="10" defaultRowHeight="15" x14ac:dyDescent="0.25"/>
  <sheetData>
    <row r="1" spans="1:15" x14ac:dyDescent="0.25">
      <c r="A1" s="10" t="s">
        <v>0</v>
      </c>
      <c r="B1" s="10" t="s">
        <v>1</v>
      </c>
      <c r="C1" s="10" t="s">
        <v>2</v>
      </c>
      <c r="D1" s="10" t="s">
        <v>3</v>
      </c>
      <c r="G1" s="6" t="s">
        <v>0</v>
      </c>
      <c r="H1" s="6" t="s">
        <v>1</v>
      </c>
      <c r="I1" s="6" t="s">
        <v>2</v>
      </c>
      <c r="J1" s="11"/>
      <c r="K1" s="3"/>
      <c r="L1" s="10" t="s">
        <v>4</v>
      </c>
      <c r="M1" s="10" t="s">
        <v>5</v>
      </c>
      <c r="N1" s="10" t="s">
        <v>6</v>
      </c>
      <c r="O1" s="10">
        <v>1</v>
      </c>
    </row>
    <row r="2" spans="1:15" x14ac:dyDescent="0.25">
      <c r="A2" s="16">
        <v>0</v>
      </c>
      <c r="B2" s="8">
        <v>0</v>
      </c>
      <c r="C2" s="8">
        <v>3</v>
      </c>
      <c r="D2" s="8">
        <v>1</v>
      </c>
      <c r="F2" s="12" t="s">
        <v>7</v>
      </c>
      <c r="G2" s="13">
        <v>50</v>
      </c>
      <c r="H2" s="13">
        <v>8</v>
      </c>
      <c r="I2" s="13">
        <v>8</v>
      </c>
      <c r="K2" s="2"/>
      <c r="L2" s="9" cm="1">
        <f t="array" ref="L2:O86">MMULT(A2:D86,G24:J27)</f>
        <v>0.47397150332001858</v>
      </c>
      <c r="M2" s="7">
        <v>-0.46607411354324224</v>
      </c>
      <c r="N2" s="7">
        <v>2.9254274789721659</v>
      </c>
      <c r="O2" s="8">
        <v>1</v>
      </c>
    </row>
    <row r="3" spans="1:15" x14ac:dyDescent="0.25">
      <c r="A3" s="16">
        <v>-3</v>
      </c>
      <c r="B3" s="8">
        <v>28</v>
      </c>
      <c r="C3" s="8">
        <v>3</v>
      </c>
      <c r="D3" s="8">
        <v>1</v>
      </c>
      <c r="F3" s="12" t="s">
        <v>8</v>
      </c>
      <c r="G3" s="13">
        <v>0</v>
      </c>
      <c r="H3" s="13">
        <v>0</v>
      </c>
      <c r="I3" s="13">
        <v>0</v>
      </c>
      <c r="L3" s="7">
        <v>-2.4883503924300974</v>
      </c>
      <c r="M3" s="7">
        <v>27.110626338951061</v>
      </c>
      <c r="N3" s="7">
        <v>7.7988493916901556</v>
      </c>
      <c r="O3" s="8">
        <v>1</v>
      </c>
    </row>
    <row r="4" spans="1:15" x14ac:dyDescent="0.25">
      <c r="A4" s="8">
        <v>0</v>
      </c>
      <c r="B4" s="8">
        <v>28</v>
      </c>
      <c r="C4" s="8">
        <v>3</v>
      </c>
      <c r="D4" s="8">
        <v>1</v>
      </c>
      <c r="F4" s="12" t="s">
        <v>9</v>
      </c>
      <c r="G4" s="13">
        <f>G2-G3</f>
        <v>50</v>
      </c>
      <c r="H4" s="13">
        <f>H2-H3</f>
        <v>8</v>
      </c>
      <c r="I4" s="13">
        <f>I2-I3</f>
        <v>8</v>
      </c>
      <c r="L4" s="7">
        <v>0.47397150332001858</v>
      </c>
      <c r="M4" s="7">
        <v>27.18519819711798</v>
      </c>
      <c r="N4" s="7">
        <v>7.3307809950546092</v>
      </c>
      <c r="O4" s="8">
        <v>1</v>
      </c>
    </row>
    <row r="5" spans="1:15" x14ac:dyDescent="0.25">
      <c r="A5" s="8">
        <v>3</v>
      </c>
      <c r="B5" s="8">
        <v>28</v>
      </c>
      <c r="C5" s="8">
        <v>3</v>
      </c>
      <c r="D5" s="8">
        <v>1</v>
      </c>
      <c r="F5" s="12" t="s">
        <v>10</v>
      </c>
      <c r="G5" s="13">
        <f>ATAN2(G4,I4)</f>
        <v>0.15865526218640141</v>
      </c>
      <c r="H5" s="13">
        <f>G5</f>
        <v>0.15865526218640141</v>
      </c>
      <c r="I5" s="13"/>
      <c r="L5" s="7">
        <v>3.4362933990701348</v>
      </c>
      <c r="M5" s="7">
        <v>27.2597700552849</v>
      </c>
      <c r="N5" s="7">
        <v>6.8627125984190629</v>
      </c>
      <c r="O5" s="8">
        <v>1</v>
      </c>
    </row>
    <row r="6" spans="1:15" x14ac:dyDescent="0.25">
      <c r="A6" s="8">
        <v>3</v>
      </c>
      <c r="B6" s="8">
        <v>22</v>
      </c>
      <c r="C6" s="8">
        <v>3</v>
      </c>
      <c r="D6" s="8">
        <v>1</v>
      </c>
      <c r="F6" s="12" t="s">
        <v>11</v>
      </c>
      <c r="G6" s="13">
        <f>H4/SQRT(POWER(G4,2)+POWER(I4,2))</f>
        <v>0.15799050110667284</v>
      </c>
      <c r="H6" s="13"/>
      <c r="I6" s="13"/>
      <c r="L6" s="7">
        <v>3.4362933990701348</v>
      </c>
      <c r="M6" s="7">
        <v>21.334497417286066</v>
      </c>
      <c r="N6" s="7">
        <v>5.9187082735442536</v>
      </c>
      <c r="O6" s="8">
        <v>1</v>
      </c>
    </row>
    <row r="7" spans="1:15" x14ac:dyDescent="0.25">
      <c r="A7" s="8">
        <v>3</v>
      </c>
      <c r="B7" s="8">
        <v>20</v>
      </c>
      <c r="C7" s="8">
        <v>3</v>
      </c>
      <c r="D7" s="8">
        <v>1</v>
      </c>
      <c r="L7" s="7">
        <v>3.4362933990701348</v>
      </c>
      <c r="M7" s="7">
        <v>19.35940653795312</v>
      </c>
      <c r="N7" s="7">
        <v>5.6040401652526501</v>
      </c>
      <c r="O7" s="8">
        <v>1</v>
      </c>
    </row>
    <row r="8" spans="1:15" x14ac:dyDescent="0.25">
      <c r="A8" s="8">
        <v>3</v>
      </c>
      <c r="B8" s="8">
        <v>16</v>
      </c>
      <c r="C8" s="8">
        <v>3</v>
      </c>
      <c r="D8" s="8">
        <v>1</v>
      </c>
      <c r="L8" s="7">
        <v>3.4362933990701348</v>
      </c>
      <c r="M8" s="7">
        <v>15.409224779287232</v>
      </c>
      <c r="N8" s="7">
        <v>4.9747039486694442</v>
      </c>
      <c r="O8" s="8">
        <v>1</v>
      </c>
    </row>
    <row r="9" spans="1:15" x14ac:dyDescent="0.25">
      <c r="A9" s="8">
        <v>3</v>
      </c>
      <c r="B9" s="8">
        <v>11</v>
      </c>
      <c r="C9" s="8">
        <v>3</v>
      </c>
      <c r="D9" s="8">
        <v>1</v>
      </c>
      <c r="F9" s="17" t="s">
        <v>17</v>
      </c>
      <c r="G9" s="13">
        <v>1</v>
      </c>
      <c r="H9" s="13">
        <v>0</v>
      </c>
      <c r="I9" s="13">
        <v>0</v>
      </c>
      <c r="J9" s="13">
        <v>0</v>
      </c>
      <c r="L9" s="7">
        <v>3.4362933990701348</v>
      </c>
      <c r="M9" s="7">
        <v>10.471497580954871</v>
      </c>
      <c r="N9" s="7">
        <v>4.1880336779404361</v>
      </c>
      <c r="O9" s="8">
        <v>1</v>
      </c>
    </row>
    <row r="10" spans="1:15" x14ac:dyDescent="0.25">
      <c r="A10" s="8">
        <v>3</v>
      </c>
      <c r="B10" s="8">
        <v>9</v>
      </c>
      <c r="C10" s="8">
        <v>3</v>
      </c>
      <c r="D10" s="8">
        <v>1</v>
      </c>
      <c r="F10" s="17"/>
      <c r="G10" s="13">
        <v>0</v>
      </c>
      <c r="H10" s="13">
        <v>1</v>
      </c>
      <c r="I10" s="13">
        <v>0</v>
      </c>
      <c r="J10" s="13">
        <v>0</v>
      </c>
      <c r="L10" s="7">
        <v>3.4362933990701348</v>
      </c>
      <c r="M10" s="7">
        <v>8.4964067016219289</v>
      </c>
      <c r="N10" s="7">
        <v>3.8733655696488332</v>
      </c>
      <c r="O10" s="8">
        <v>1</v>
      </c>
    </row>
    <row r="11" spans="1:15" x14ac:dyDescent="0.25">
      <c r="A11" s="8">
        <v>3</v>
      </c>
      <c r="B11" s="8">
        <v>7</v>
      </c>
      <c r="C11" s="8">
        <v>3</v>
      </c>
      <c r="D11" s="8">
        <v>1</v>
      </c>
      <c r="F11" s="17"/>
      <c r="G11" s="13">
        <v>0</v>
      </c>
      <c r="H11" s="13">
        <v>0</v>
      </c>
      <c r="I11" s="13">
        <v>1</v>
      </c>
      <c r="J11" s="13">
        <v>0</v>
      </c>
      <c r="L11" s="7">
        <v>3.4362933990701348</v>
      </c>
      <c r="M11" s="7">
        <v>6.5213158222889822</v>
      </c>
      <c r="N11" s="7">
        <v>3.5586974613572302</v>
      </c>
      <c r="O11" s="8">
        <v>1</v>
      </c>
    </row>
    <row r="12" spans="1:15" x14ac:dyDescent="0.25">
      <c r="A12" s="8">
        <v>3</v>
      </c>
      <c r="B12" s="8">
        <v>5</v>
      </c>
      <c r="C12" s="8">
        <v>3</v>
      </c>
      <c r="D12" s="8">
        <v>1</v>
      </c>
      <c r="F12" s="17"/>
      <c r="G12" s="13">
        <f>-G3</f>
        <v>0</v>
      </c>
      <c r="H12" s="13">
        <f>-H3</f>
        <v>0</v>
      </c>
      <c r="I12" s="14">
        <f>-I3</f>
        <v>0</v>
      </c>
      <c r="J12" s="13">
        <v>1</v>
      </c>
      <c r="L12" s="7">
        <v>3.4362933990701348</v>
      </c>
      <c r="M12" s="7">
        <v>4.5462249429560373</v>
      </c>
      <c r="N12" s="7">
        <v>3.2440293530656268</v>
      </c>
      <c r="O12" s="8">
        <v>1</v>
      </c>
    </row>
    <row r="13" spans="1:15" x14ac:dyDescent="0.25">
      <c r="A13" s="8">
        <v>6</v>
      </c>
      <c r="B13" s="8">
        <v>5</v>
      </c>
      <c r="C13" s="8">
        <v>3</v>
      </c>
      <c r="D13" s="8">
        <v>1</v>
      </c>
      <c r="L13" s="7">
        <v>6.3986152948202504</v>
      </c>
      <c r="M13" s="7">
        <v>4.6207968011229559</v>
      </c>
      <c r="N13" s="7">
        <v>2.7759609564300805</v>
      </c>
      <c r="O13" s="8">
        <v>1</v>
      </c>
    </row>
    <row r="14" spans="1:15" x14ac:dyDescent="0.25">
      <c r="A14" s="8">
        <v>6</v>
      </c>
      <c r="B14" s="8">
        <v>3</v>
      </c>
      <c r="C14" s="8">
        <v>3</v>
      </c>
      <c r="D14" s="8">
        <v>1</v>
      </c>
      <c r="F14" s="17" t="s">
        <v>12</v>
      </c>
      <c r="G14" s="13">
        <f>COS(H5)</f>
        <v>0.98744063191670539</v>
      </c>
      <c r="H14" s="13">
        <v>0</v>
      </c>
      <c r="I14" s="13">
        <f>-SIN(H5)</f>
        <v>-0.15799050110667287</v>
      </c>
      <c r="J14" s="13">
        <v>0</v>
      </c>
      <c r="K14" s="1"/>
      <c r="L14" s="7">
        <v>6.3986152948202504</v>
      </c>
      <c r="M14" s="7">
        <v>2.6457059217900123</v>
      </c>
      <c r="N14" s="7">
        <v>2.4612928481384775</v>
      </c>
      <c r="O14" s="8">
        <v>1</v>
      </c>
    </row>
    <row r="15" spans="1:15" x14ac:dyDescent="0.25">
      <c r="A15" s="8">
        <v>6</v>
      </c>
      <c r="B15" s="8">
        <v>0</v>
      </c>
      <c r="C15" s="8">
        <v>3</v>
      </c>
      <c r="D15" s="8">
        <v>1</v>
      </c>
      <c r="F15" s="17"/>
      <c r="G15" s="13">
        <v>0</v>
      </c>
      <c r="H15" s="13">
        <v>1</v>
      </c>
      <c r="I15" s="13">
        <v>0</v>
      </c>
      <c r="J15" s="13">
        <v>0</v>
      </c>
      <c r="L15" s="7">
        <v>6.3986152948202504</v>
      </c>
      <c r="M15" s="7">
        <v>-0.31693039720940475</v>
      </c>
      <c r="N15" s="7">
        <v>1.9892906857010728</v>
      </c>
      <c r="O15" s="8">
        <v>1</v>
      </c>
    </row>
    <row r="16" spans="1:15" x14ac:dyDescent="0.25">
      <c r="A16" s="8">
        <v>3</v>
      </c>
      <c r="B16" s="8">
        <v>0</v>
      </c>
      <c r="C16" s="8">
        <v>3</v>
      </c>
      <c r="D16" s="8">
        <v>1</v>
      </c>
      <c r="F16" s="17"/>
      <c r="G16" s="13">
        <f>SIN(H5)</f>
        <v>0.15799050110667287</v>
      </c>
      <c r="H16" s="13">
        <v>0</v>
      </c>
      <c r="I16" s="13">
        <f>COS(G5)</f>
        <v>0.98744063191670539</v>
      </c>
      <c r="J16" s="13">
        <v>0</v>
      </c>
      <c r="L16" s="7">
        <v>3.4362933990701348</v>
      </c>
      <c r="M16" s="7">
        <v>-0.39150225537632349</v>
      </c>
      <c r="N16" s="7">
        <v>2.4573590823366196</v>
      </c>
      <c r="O16" s="8">
        <v>1</v>
      </c>
    </row>
    <row r="17" spans="1:26" x14ac:dyDescent="0.25">
      <c r="A17" s="8">
        <v>-3</v>
      </c>
      <c r="B17" s="8">
        <v>0</v>
      </c>
      <c r="C17" s="8">
        <v>3</v>
      </c>
      <c r="D17" s="8">
        <v>1</v>
      </c>
      <c r="F17" s="17"/>
      <c r="G17" s="13">
        <v>0</v>
      </c>
      <c r="H17" s="13">
        <v>0</v>
      </c>
      <c r="I17" s="13">
        <v>0</v>
      </c>
      <c r="J17" s="13">
        <v>1</v>
      </c>
      <c r="L17" s="7">
        <v>-2.4883503924300974</v>
      </c>
      <c r="M17" s="7">
        <v>-0.54064597171016104</v>
      </c>
      <c r="N17" s="7">
        <v>3.3934958756077123</v>
      </c>
      <c r="O17" s="8">
        <v>1</v>
      </c>
    </row>
    <row r="18" spans="1:26" x14ac:dyDescent="0.25">
      <c r="A18" s="8">
        <v>-6</v>
      </c>
      <c r="B18" s="8">
        <v>0</v>
      </c>
      <c r="C18" s="8">
        <v>3</v>
      </c>
      <c r="D18" s="8">
        <v>1</v>
      </c>
      <c r="L18" s="7">
        <v>-5.4506722881802139</v>
      </c>
      <c r="M18" s="7">
        <v>-0.61521782987707974</v>
      </c>
      <c r="N18" s="7">
        <v>3.861564272243259</v>
      </c>
      <c r="O18" s="8">
        <v>1</v>
      </c>
    </row>
    <row r="19" spans="1:26" x14ac:dyDescent="0.25">
      <c r="A19" s="8">
        <v>-6</v>
      </c>
      <c r="B19" s="8">
        <v>3</v>
      </c>
      <c r="C19" s="8">
        <v>3</v>
      </c>
      <c r="D19" s="8">
        <v>1</v>
      </c>
      <c r="F19" s="17" t="s">
        <v>13</v>
      </c>
      <c r="G19" s="13">
        <v>1</v>
      </c>
      <c r="H19" s="13">
        <v>0</v>
      </c>
      <c r="I19" s="13">
        <v>0</v>
      </c>
      <c r="J19" s="13">
        <v>0</v>
      </c>
      <c r="L19" s="7">
        <v>-5.4506722881802139</v>
      </c>
      <c r="M19" s="7">
        <v>2.3474184891223371</v>
      </c>
      <c r="N19" s="7">
        <v>4.3335664346806642</v>
      </c>
      <c r="O19" s="8">
        <v>1</v>
      </c>
    </row>
    <row r="20" spans="1:26" x14ac:dyDescent="0.25">
      <c r="A20" s="8">
        <v>-6</v>
      </c>
      <c r="B20" s="8">
        <v>5</v>
      </c>
      <c r="C20" s="8">
        <v>3</v>
      </c>
      <c r="D20" s="8">
        <v>1</v>
      </c>
      <c r="F20" s="17"/>
      <c r="G20" s="13">
        <v>0</v>
      </c>
      <c r="H20" s="13">
        <f>COS(G6)</f>
        <v>0.98754543966647224</v>
      </c>
      <c r="I20" s="13">
        <f>SIN(G6)</f>
        <v>0.15733405414580154</v>
      </c>
      <c r="J20" s="13">
        <v>0</v>
      </c>
      <c r="L20" s="7">
        <v>-5.4506722881802139</v>
      </c>
      <c r="M20" s="7">
        <v>4.3225093684552816</v>
      </c>
      <c r="N20" s="7">
        <v>4.6482345429722667</v>
      </c>
      <c r="O20" s="8">
        <v>1</v>
      </c>
    </row>
    <row r="21" spans="1:26" x14ac:dyDescent="0.25">
      <c r="A21" s="8">
        <v>-3</v>
      </c>
      <c r="B21" s="8">
        <v>5</v>
      </c>
      <c r="C21" s="8">
        <v>3</v>
      </c>
      <c r="D21" s="8">
        <v>1</v>
      </c>
      <c r="F21" s="17"/>
      <c r="G21" s="13">
        <v>0</v>
      </c>
      <c r="H21" s="13">
        <f>-SIN(G6)</f>
        <v>-0.15733405414580154</v>
      </c>
      <c r="I21" s="13">
        <f>COS(G6)</f>
        <v>0.98754543966647224</v>
      </c>
      <c r="J21" s="13">
        <v>0</v>
      </c>
      <c r="L21" s="7">
        <v>-2.4883503924300974</v>
      </c>
      <c r="M21" s="7">
        <v>4.3970812266222001</v>
      </c>
      <c r="N21" s="7">
        <v>4.1801661463367203</v>
      </c>
      <c r="O21" s="8">
        <v>1</v>
      </c>
      <c r="Z21" s="5"/>
    </row>
    <row r="22" spans="1:26" x14ac:dyDescent="0.25">
      <c r="A22" s="8">
        <v>-3</v>
      </c>
      <c r="B22" s="8">
        <v>7</v>
      </c>
      <c r="C22" s="8">
        <v>3</v>
      </c>
      <c r="D22" s="8">
        <v>1</v>
      </c>
      <c r="F22" s="17"/>
      <c r="G22" s="13">
        <v>0</v>
      </c>
      <c r="H22" s="13">
        <v>0</v>
      </c>
      <c r="I22" s="13">
        <v>0</v>
      </c>
      <c r="J22" s="13">
        <v>1</v>
      </c>
      <c r="L22" s="7">
        <v>-2.4883503924300974</v>
      </c>
      <c r="M22" s="7">
        <v>6.372172105955145</v>
      </c>
      <c r="N22" s="7">
        <v>4.4948342546283229</v>
      </c>
      <c r="O22" s="8">
        <v>1</v>
      </c>
    </row>
    <row r="23" spans="1:26" x14ac:dyDescent="0.25">
      <c r="A23" s="8">
        <v>-3</v>
      </c>
      <c r="B23" s="8">
        <v>11</v>
      </c>
      <c r="C23" s="8">
        <v>3</v>
      </c>
      <c r="D23" s="8">
        <v>1</v>
      </c>
      <c r="L23" s="7">
        <v>-2.4883503924300974</v>
      </c>
      <c r="M23" s="7">
        <v>10.322353864621032</v>
      </c>
      <c r="N23" s="7">
        <v>5.1241704712115297</v>
      </c>
      <c r="O23" s="8">
        <v>1</v>
      </c>
    </row>
    <row r="24" spans="1:26" x14ac:dyDescent="0.25">
      <c r="A24" s="8">
        <v>-3</v>
      </c>
      <c r="B24" s="8">
        <v>18</v>
      </c>
      <c r="C24" s="8">
        <v>3</v>
      </c>
      <c r="D24" s="8">
        <v>1</v>
      </c>
      <c r="F24" s="17" t="s">
        <v>14</v>
      </c>
      <c r="G24" s="13" cm="1">
        <f t="array" ref="G24:J27">MMULT(G9:J12,MMULT(G14:J17,G19:J22))</f>
        <v>0.98744063191670539</v>
      </c>
      <c r="H24" s="13">
        <v>2.4857286055639586E-2</v>
      </c>
      <c r="I24" s="13">
        <v>-0.15602279887851553</v>
      </c>
      <c r="J24" s="13">
        <v>0</v>
      </c>
      <c r="L24" s="7">
        <v>-2.4883503924300974</v>
      </c>
      <c r="M24" s="7">
        <v>17.235171942286339</v>
      </c>
      <c r="N24" s="7">
        <v>6.2255088502321403</v>
      </c>
      <c r="O24" s="8">
        <v>1</v>
      </c>
    </row>
    <row r="25" spans="1:26" x14ac:dyDescent="0.25">
      <c r="A25" s="8">
        <v>-3</v>
      </c>
      <c r="B25" s="8">
        <v>20</v>
      </c>
      <c r="C25" s="8">
        <v>3</v>
      </c>
      <c r="D25" s="8">
        <v>1</v>
      </c>
      <c r="F25" s="17"/>
      <c r="G25" s="13">
        <v>0</v>
      </c>
      <c r="H25" s="13">
        <v>0.98754543966647224</v>
      </c>
      <c r="I25" s="13">
        <v>0.15733405414580154</v>
      </c>
      <c r="J25" s="13">
        <v>0</v>
      </c>
      <c r="L25" s="7">
        <v>-2.4883503924300974</v>
      </c>
      <c r="M25" s="7">
        <v>19.210262821619281</v>
      </c>
      <c r="N25" s="7">
        <v>6.5401769585237428</v>
      </c>
      <c r="O25" s="8">
        <v>1</v>
      </c>
    </row>
    <row r="26" spans="1:26" x14ac:dyDescent="0.25">
      <c r="A26" s="8">
        <v>-3</v>
      </c>
      <c r="B26" s="8">
        <v>22</v>
      </c>
      <c r="C26" s="8">
        <v>3</v>
      </c>
      <c r="D26" s="8">
        <v>1</v>
      </c>
      <c r="F26" s="17"/>
      <c r="G26" s="13">
        <v>0.15799050110667287</v>
      </c>
      <c r="H26" s="13">
        <v>-0.1553580378477474</v>
      </c>
      <c r="I26" s="13">
        <v>0.97514249299072198</v>
      </c>
      <c r="J26" s="13">
        <v>0</v>
      </c>
      <c r="L26" s="7">
        <v>-2.4883503924300974</v>
      </c>
      <c r="M26" s="7">
        <v>21.185353700952227</v>
      </c>
      <c r="N26" s="7">
        <v>6.8548450668153462</v>
      </c>
      <c r="O26" s="8">
        <v>1</v>
      </c>
    </row>
    <row r="27" spans="1:26" x14ac:dyDescent="0.25">
      <c r="A27" s="8">
        <v>-6</v>
      </c>
      <c r="B27" s="8">
        <v>22</v>
      </c>
      <c r="C27" s="8">
        <v>3</v>
      </c>
      <c r="D27" s="8">
        <v>1</v>
      </c>
      <c r="F27" s="17"/>
      <c r="G27" s="13">
        <v>0</v>
      </c>
      <c r="H27" s="13">
        <v>0</v>
      </c>
      <c r="I27" s="13">
        <v>0</v>
      </c>
      <c r="J27" s="13">
        <v>1</v>
      </c>
      <c r="L27" s="7">
        <v>-5.4506722881802139</v>
      </c>
      <c r="M27" s="7">
        <v>21.110781842785308</v>
      </c>
      <c r="N27" s="7">
        <v>7.3229134634508934</v>
      </c>
      <c r="O27" s="8">
        <v>1</v>
      </c>
    </row>
    <row r="28" spans="1:26" x14ac:dyDescent="0.25">
      <c r="A28" s="8">
        <v>-6</v>
      </c>
      <c r="B28" s="8">
        <v>24</v>
      </c>
      <c r="C28" s="8">
        <v>3</v>
      </c>
      <c r="D28" s="8">
        <v>1</v>
      </c>
      <c r="L28" s="7">
        <v>-5.4506722881802139</v>
      </c>
      <c r="M28" s="7">
        <v>23.085872722118253</v>
      </c>
      <c r="N28" s="7">
        <v>7.637581571742496</v>
      </c>
      <c r="O28" s="8">
        <v>1</v>
      </c>
    </row>
    <row r="29" spans="1:26" x14ac:dyDescent="0.25">
      <c r="A29" s="8">
        <v>-6</v>
      </c>
      <c r="B29" s="8">
        <v>25</v>
      </c>
      <c r="C29" s="8">
        <v>3</v>
      </c>
      <c r="D29" s="8">
        <v>1</v>
      </c>
      <c r="F29" s="17" t="s">
        <v>15</v>
      </c>
      <c r="G29" s="13" cm="1">
        <f t="array" ref="G29:J32">MINVERSE(G24:J27)</f>
        <v>0.98744063191670528</v>
      </c>
      <c r="H29" s="13">
        <v>0</v>
      </c>
      <c r="I29" s="13">
        <v>0.15799050110667287</v>
      </c>
      <c r="J29" s="15">
        <v>0</v>
      </c>
      <c r="L29" s="7">
        <v>-5.4506722881802139</v>
      </c>
      <c r="M29" s="7">
        <v>24.073418161784723</v>
      </c>
      <c r="N29" s="7">
        <v>7.7949156258882972</v>
      </c>
      <c r="O29" s="8">
        <v>1</v>
      </c>
    </row>
    <row r="30" spans="1:26" x14ac:dyDescent="0.25">
      <c r="A30" s="8">
        <v>-4.5</v>
      </c>
      <c r="B30" s="8">
        <v>26.5</v>
      </c>
      <c r="C30" s="8">
        <v>3</v>
      </c>
      <c r="D30" s="8">
        <v>1</v>
      </c>
      <c r="F30" s="17"/>
      <c r="G30" s="13">
        <v>2.4857286055639582E-2</v>
      </c>
      <c r="H30" s="13">
        <v>0.98754543966647224</v>
      </c>
      <c r="I30" s="13">
        <v>-0.1553580378477474</v>
      </c>
      <c r="J30" s="15">
        <v>0</v>
      </c>
      <c r="L30" s="7">
        <v>-3.9695113403051558</v>
      </c>
      <c r="M30" s="7">
        <v>25.592022250367894</v>
      </c>
      <c r="N30" s="7">
        <v>7.796882508789226</v>
      </c>
      <c r="O30" s="8">
        <v>1</v>
      </c>
    </row>
    <row r="31" spans="1:26" x14ac:dyDescent="0.25">
      <c r="A31" s="8">
        <v>-3</v>
      </c>
      <c r="B31" s="8">
        <v>28</v>
      </c>
      <c r="C31" s="8">
        <v>3</v>
      </c>
      <c r="D31" s="8">
        <v>1</v>
      </c>
      <c r="F31" s="17"/>
      <c r="G31" s="13">
        <v>-0.1560227988785155</v>
      </c>
      <c r="H31" s="13">
        <v>0.15733405414580154</v>
      </c>
      <c r="I31" s="13">
        <v>0.97514249299072198</v>
      </c>
      <c r="J31" s="15">
        <v>0</v>
      </c>
      <c r="L31" s="7">
        <v>-2.4883503924300974</v>
      </c>
      <c r="M31" s="7">
        <v>27.110626338951061</v>
      </c>
      <c r="N31" s="7">
        <v>7.7988493916901556</v>
      </c>
      <c r="O31" s="8">
        <v>1</v>
      </c>
    </row>
    <row r="32" spans="1:26" x14ac:dyDescent="0.25">
      <c r="A32" s="8">
        <v>0</v>
      </c>
      <c r="B32" s="8">
        <v>0</v>
      </c>
      <c r="C32" s="8">
        <v>0</v>
      </c>
      <c r="D32" s="8">
        <v>1</v>
      </c>
      <c r="F32" s="17"/>
      <c r="G32" s="13">
        <v>0</v>
      </c>
      <c r="H32" s="13">
        <v>0</v>
      </c>
      <c r="I32" s="13">
        <v>0</v>
      </c>
      <c r="J32" s="15">
        <v>1</v>
      </c>
      <c r="L32" s="7">
        <v>0</v>
      </c>
      <c r="M32" s="7">
        <v>0</v>
      </c>
      <c r="N32" s="7">
        <v>0</v>
      </c>
      <c r="O32" s="8">
        <v>1</v>
      </c>
    </row>
    <row r="33" spans="1:22" x14ac:dyDescent="0.25">
      <c r="A33" s="8">
        <v>-3</v>
      </c>
      <c r="B33" s="8">
        <v>28</v>
      </c>
      <c r="C33" s="8">
        <f>-C34-6</f>
        <v>-3</v>
      </c>
      <c r="D33" s="8">
        <v>1</v>
      </c>
      <c r="L33" s="7">
        <v>-3.4362933990701348</v>
      </c>
      <c r="M33" s="7">
        <v>28.042774566037547</v>
      </c>
      <c r="N33" s="7">
        <v>1.9479944337458237</v>
      </c>
      <c r="O33" s="8">
        <v>1</v>
      </c>
    </row>
    <row r="34" spans="1:22" x14ac:dyDescent="0.25">
      <c r="A34" s="8">
        <v>0</v>
      </c>
      <c r="B34" s="8">
        <v>28</v>
      </c>
      <c r="C34" s="8">
        <v>-3</v>
      </c>
      <c r="D34" s="8">
        <v>1</v>
      </c>
      <c r="L34" s="7">
        <v>-0.47397150332001858</v>
      </c>
      <c r="M34" s="7">
        <v>28.117346424204467</v>
      </c>
      <c r="N34" s="7">
        <v>1.4799260371102774</v>
      </c>
      <c r="O34" s="8">
        <v>1</v>
      </c>
    </row>
    <row r="35" spans="1:22" x14ac:dyDescent="0.25">
      <c r="A35" s="8">
        <v>3</v>
      </c>
      <c r="B35" s="8">
        <v>28</v>
      </c>
      <c r="C35" s="8">
        <v>-3</v>
      </c>
      <c r="D35" s="8">
        <v>1</v>
      </c>
      <c r="L35" s="7">
        <v>2.4883503924300974</v>
      </c>
      <c r="M35" s="7">
        <v>28.191918282371386</v>
      </c>
      <c r="N35" s="7">
        <v>1.011857640474731</v>
      </c>
      <c r="O35" s="8">
        <v>1</v>
      </c>
    </row>
    <row r="36" spans="1:22" x14ac:dyDescent="0.25">
      <c r="A36" s="8">
        <v>3</v>
      </c>
      <c r="B36" s="8">
        <v>22</v>
      </c>
      <c r="C36" s="8">
        <v>-3</v>
      </c>
      <c r="D36" s="8">
        <v>1</v>
      </c>
      <c r="L36" s="7">
        <v>2.4883503924300974</v>
      </c>
      <c r="M36" s="7">
        <v>22.266645644372552</v>
      </c>
      <c r="N36" s="7">
        <v>6.7853315599921693E-2</v>
      </c>
      <c r="O36" s="8">
        <v>1</v>
      </c>
    </row>
    <row r="37" spans="1:22" x14ac:dyDescent="0.25">
      <c r="A37" s="8">
        <v>3</v>
      </c>
      <c r="B37" s="8">
        <v>20</v>
      </c>
      <c r="C37" s="8">
        <v>-3</v>
      </c>
      <c r="D37" s="8">
        <v>1</v>
      </c>
      <c r="L37" s="7">
        <v>2.4883503924300974</v>
      </c>
      <c r="M37" s="7">
        <v>20.291554765039606</v>
      </c>
      <c r="N37" s="7">
        <v>-0.24681479269168172</v>
      </c>
      <c r="O37" s="8">
        <v>1</v>
      </c>
    </row>
    <row r="38" spans="1:22" x14ac:dyDescent="0.25">
      <c r="A38" s="8">
        <v>3</v>
      </c>
      <c r="B38" s="8">
        <v>16</v>
      </c>
      <c r="C38" s="8">
        <v>-3</v>
      </c>
      <c r="D38" s="8">
        <v>1</v>
      </c>
      <c r="L38" s="7">
        <v>2.4883503924300974</v>
      </c>
      <c r="M38" s="7">
        <v>16.341373006373718</v>
      </c>
      <c r="N38" s="7">
        <v>-0.87615100927488765</v>
      </c>
      <c r="O38" s="8">
        <v>1</v>
      </c>
    </row>
    <row r="39" spans="1:22" x14ac:dyDescent="0.25">
      <c r="A39" s="8">
        <v>3</v>
      </c>
      <c r="B39" s="8">
        <v>11</v>
      </c>
      <c r="C39" s="8">
        <v>-3</v>
      </c>
      <c r="D39" s="8">
        <v>1</v>
      </c>
      <c r="L39" s="7">
        <v>2.4883503924300974</v>
      </c>
      <c r="M39" s="7">
        <v>11.403645808041357</v>
      </c>
      <c r="N39" s="7">
        <v>-1.6628212800038955</v>
      </c>
      <c r="O39" s="8">
        <v>1</v>
      </c>
    </row>
    <row r="40" spans="1:22" x14ac:dyDescent="0.25">
      <c r="A40" s="8">
        <v>3</v>
      </c>
      <c r="B40" s="8">
        <v>9</v>
      </c>
      <c r="C40" s="8">
        <v>-3</v>
      </c>
      <c r="D40" s="8">
        <v>1</v>
      </c>
      <c r="L40" s="7">
        <v>2.4883503924300974</v>
      </c>
      <c r="M40" s="7">
        <v>9.4285549287084116</v>
      </c>
      <c r="N40" s="7">
        <v>-1.9774893882954987</v>
      </c>
      <c r="O40" s="8">
        <v>1</v>
      </c>
    </row>
    <row r="41" spans="1:22" x14ac:dyDescent="0.25">
      <c r="A41" s="8">
        <v>3</v>
      </c>
      <c r="B41" s="8">
        <v>7</v>
      </c>
      <c r="C41" s="8">
        <v>-3</v>
      </c>
      <c r="D41" s="8">
        <v>1</v>
      </c>
      <c r="L41" s="7">
        <v>2.4883503924300974</v>
      </c>
      <c r="M41" s="7">
        <v>7.4534640493754667</v>
      </c>
      <c r="N41" s="7">
        <v>-2.2921574965871017</v>
      </c>
      <c r="O41" s="8">
        <v>1</v>
      </c>
    </row>
    <row r="42" spans="1:22" x14ac:dyDescent="0.25">
      <c r="A42" s="8">
        <v>3</v>
      </c>
      <c r="B42" s="8">
        <v>5</v>
      </c>
      <c r="C42" s="8">
        <v>-3</v>
      </c>
      <c r="D42" s="8">
        <v>1</v>
      </c>
      <c r="L42" s="7">
        <v>2.4883503924300974</v>
      </c>
      <c r="M42" s="7">
        <v>5.4783731700425218</v>
      </c>
      <c r="N42" s="7">
        <v>-2.6068256048787051</v>
      </c>
      <c r="O42" s="8">
        <v>1</v>
      </c>
    </row>
    <row r="43" spans="1:22" x14ac:dyDescent="0.25">
      <c r="A43" s="8">
        <v>6</v>
      </c>
      <c r="B43" s="8">
        <v>5</v>
      </c>
      <c r="C43" s="8">
        <v>-3</v>
      </c>
      <c r="D43" s="8">
        <v>1</v>
      </c>
      <c r="L43" s="7">
        <v>5.4506722881802139</v>
      </c>
      <c r="M43" s="7">
        <v>5.5529450282094404</v>
      </c>
      <c r="N43" s="7">
        <v>-3.0748940015142514</v>
      </c>
      <c r="O43" s="8">
        <v>1</v>
      </c>
    </row>
    <row r="44" spans="1:22" x14ac:dyDescent="0.25">
      <c r="A44" s="8">
        <v>6</v>
      </c>
      <c r="B44" s="8">
        <v>3</v>
      </c>
      <c r="C44" s="8">
        <v>-3</v>
      </c>
      <c r="D44" s="8">
        <v>1</v>
      </c>
      <c r="L44" s="7">
        <v>5.4506722881802139</v>
      </c>
      <c r="M44" s="7">
        <v>3.5778541488764968</v>
      </c>
      <c r="N44" s="7">
        <v>-3.3895621098058544</v>
      </c>
      <c r="O44" s="8">
        <v>1</v>
      </c>
    </row>
    <row r="45" spans="1:22" x14ac:dyDescent="0.25">
      <c r="A45" s="8">
        <v>6</v>
      </c>
      <c r="B45" s="8">
        <v>0</v>
      </c>
      <c r="C45" s="8">
        <v>-3</v>
      </c>
      <c r="D45" s="8">
        <v>1</v>
      </c>
      <c r="L45" s="7">
        <v>5.4506722881802139</v>
      </c>
      <c r="M45" s="7">
        <v>0.61521782987707974</v>
      </c>
      <c r="N45" s="7">
        <v>-3.861564272243259</v>
      </c>
      <c r="O45" s="8">
        <v>1</v>
      </c>
      <c r="V45" t="s">
        <v>16</v>
      </c>
    </row>
    <row r="46" spans="1:22" x14ac:dyDescent="0.25">
      <c r="A46" s="8">
        <v>3</v>
      </c>
      <c r="B46" s="8">
        <v>0</v>
      </c>
      <c r="C46" s="8">
        <v>-3</v>
      </c>
      <c r="D46" s="8">
        <v>1</v>
      </c>
      <c r="L46" s="7">
        <v>2.4883503924300974</v>
      </c>
      <c r="M46" s="7">
        <v>0.54064597171016104</v>
      </c>
      <c r="N46" s="7">
        <v>-3.3934958756077123</v>
      </c>
      <c r="O46" s="8">
        <v>1</v>
      </c>
    </row>
    <row r="47" spans="1:22" x14ac:dyDescent="0.25">
      <c r="A47" s="8">
        <v>-3</v>
      </c>
      <c r="B47" s="8">
        <v>0</v>
      </c>
      <c r="C47" s="8">
        <v>-3</v>
      </c>
      <c r="D47" s="8">
        <v>1</v>
      </c>
      <c r="L47" s="7">
        <v>-3.4362933990701348</v>
      </c>
      <c r="M47" s="7">
        <v>0.39150225537632349</v>
      </c>
      <c r="N47" s="7">
        <v>-2.4573590823366196</v>
      </c>
      <c r="O47" s="8">
        <v>1</v>
      </c>
    </row>
    <row r="48" spans="1:22" x14ac:dyDescent="0.25">
      <c r="A48" s="8">
        <v>-6</v>
      </c>
      <c r="B48" s="8">
        <v>0</v>
      </c>
      <c r="C48" s="8">
        <v>-3</v>
      </c>
      <c r="D48" s="8">
        <v>1</v>
      </c>
      <c r="L48" s="7">
        <v>-6.3986152948202504</v>
      </c>
      <c r="M48" s="7">
        <v>0.31693039720940475</v>
      </c>
      <c r="N48" s="7">
        <v>-1.9892906857010728</v>
      </c>
      <c r="O48" s="8">
        <v>1</v>
      </c>
    </row>
    <row r="49" spans="1:15" x14ac:dyDescent="0.25">
      <c r="A49" s="8">
        <v>-6</v>
      </c>
      <c r="B49" s="8">
        <v>3</v>
      </c>
      <c r="C49" s="8">
        <v>-3</v>
      </c>
      <c r="D49" s="8">
        <v>1</v>
      </c>
      <c r="L49" s="7">
        <v>-6.3986152948202504</v>
      </c>
      <c r="M49" s="7">
        <v>3.2795667162088216</v>
      </c>
      <c r="N49" s="7">
        <v>-1.5172885232636681</v>
      </c>
      <c r="O49" s="8">
        <v>1</v>
      </c>
    </row>
    <row r="50" spans="1:15" x14ac:dyDescent="0.25">
      <c r="A50" s="8">
        <v>-6</v>
      </c>
      <c r="B50" s="8">
        <v>5</v>
      </c>
      <c r="C50" s="8">
        <v>-3</v>
      </c>
      <c r="D50" s="8">
        <v>1</v>
      </c>
      <c r="L50" s="7">
        <v>-6.3986152948202504</v>
      </c>
      <c r="M50" s="7">
        <v>5.254657595541766</v>
      </c>
      <c r="N50" s="7">
        <v>-1.2026204149720652</v>
      </c>
      <c r="O50" s="8">
        <v>1</v>
      </c>
    </row>
    <row r="51" spans="1:15" x14ac:dyDescent="0.25">
      <c r="A51" s="8">
        <v>-3</v>
      </c>
      <c r="B51" s="8">
        <v>5</v>
      </c>
      <c r="C51" s="8">
        <v>-3</v>
      </c>
      <c r="D51" s="8">
        <v>1</v>
      </c>
      <c r="L51" s="7">
        <v>-3.4362933990701348</v>
      </c>
      <c r="M51" s="7">
        <v>5.3292294537086846</v>
      </c>
      <c r="N51" s="7">
        <v>-1.6706888116076117</v>
      </c>
      <c r="O51" s="8">
        <v>1</v>
      </c>
    </row>
    <row r="52" spans="1:15" x14ac:dyDescent="0.25">
      <c r="A52" s="8">
        <v>-3</v>
      </c>
      <c r="B52" s="8">
        <v>7</v>
      </c>
      <c r="C52" s="8">
        <v>-3</v>
      </c>
      <c r="D52" s="8">
        <v>1</v>
      </c>
      <c r="L52" s="7">
        <v>-3.4362933990701348</v>
      </c>
      <c r="M52" s="7">
        <v>7.3043203330416295</v>
      </c>
      <c r="N52" s="7">
        <v>-1.3560207033160085</v>
      </c>
      <c r="O52" s="8">
        <v>1</v>
      </c>
    </row>
    <row r="53" spans="1:15" x14ac:dyDescent="0.25">
      <c r="A53" s="8">
        <v>-3</v>
      </c>
      <c r="B53" s="8">
        <v>11</v>
      </c>
      <c r="C53" s="8">
        <v>-3</v>
      </c>
      <c r="D53" s="8">
        <v>1</v>
      </c>
      <c r="L53" s="7">
        <v>-3.4362933990701348</v>
      </c>
      <c r="M53" s="7">
        <v>11.254502091707518</v>
      </c>
      <c r="N53" s="7">
        <v>-0.72668448673280217</v>
      </c>
      <c r="O53" s="8">
        <v>1</v>
      </c>
    </row>
    <row r="54" spans="1:15" x14ac:dyDescent="0.25">
      <c r="A54" s="8">
        <v>-3</v>
      </c>
      <c r="B54" s="8">
        <v>18</v>
      </c>
      <c r="C54" s="8">
        <v>-3</v>
      </c>
      <c r="D54" s="8">
        <v>1</v>
      </c>
      <c r="L54" s="7">
        <v>-3.4362933990701348</v>
      </c>
      <c r="M54" s="7">
        <v>18.167320169372825</v>
      </c>
      <c r="N54" s="7">
        <v>0.37465389228780843</v>
      </c>
      <c r="O54" s="8">
        <v>1</v>
      </c>
    </row>
    <row r="55" spans="1:15" x14ac:dyDescent="0.25">
      <c r="A55" s="8">
        <v>-3</v>
      </c>
      <c r="B55" s="8">
        <v>20</v>
      </c>
      <c r="C55" s="8">
        <v>-3</v>
      </c>
      <c r="D55" s="8">
        <v>1</v>
      </c>
      <c r="L55" s="7">
        <v>-3.4362933990701348</v>
      </c>
      <c r="M55" s="7">
        <v>20.142411048705767</v>
      </c>
      <c r="N55" s="7">
        <v>0.68932200057941095</v>
      </c>
      <c r="O55" s="8">
        <v>1</v>
      </c>
    </row>
    <row r="56" spans="1:15" x14ac:dyDescent="0.25">
      <c r="A56" s="8">
        <v>-3</v>
      </c>
      <c r="B56" s="8">
        <v>22</v>
      </c>
      <c r="C56" s="8">
        <v>-3</v>
      </c>
      <c r="D56" s="8">
        <v>1</v>
      </c>
      <c r="L56" s="7">
        <v>-3.4362933990701348</v>
      </c>
      <c r="M56" s="7">
        <v>22.117501928038713</v>
      </c>
      <c r="N56" s="7">
        <v>1.0039901088710144</v>
      </c>
      <c r="O56" s="8">
        <v>1</v>
      </c>
    </row>
    <row r="57" spans="1:15" x14ac:dyDescent="0.25">
      <c r="A57" s="8">
        <v>-6</v>
      </c>
      <c r="B57" s="8">
        <v>22</v>
      </c>
      <c r="C57" s="8">
        <v>-3</v>
      </c>
      <c r="D57" s="8">
        <v>1</v>
      </c>
      <c r="L57" s="7">
        <v>-6.3986152948202504</v>
      </c>
      <c r="M57" s="7">
        <v>22.042930069871794</v>
      </c>
      <c r="N57" s="7">
        <v>1.4720585055065616</v>
      </c>
      <c r="O57" s="8">
        <v>1</v>
      </c>
    </row>
    <row r="58" spans="1:15" x14ac:dyDescent="0.25">
      <c r="A58" s="8">
        <v>-6</v>
      </c>
      <c r="B58" s="8">
        <v>24</v>
      </c>
      <c r="C58" s="8">
        <v>-3</v>
      </c>
      <c r="D58" s="8">
        <v>1</v>
      </c>
      <c r="L58" s="7">
        <v>-6.3986152948202504</v>
      </c>
      <c r="M58" s="7">
        <v>24.01802094920474</v>
      </c>
      <c r="N58" s="7">
        <v>1.7867266137981641</v>
      </c>
      <c r="O58" s="8">
        <v>1</v>
      </c>
    </row>
    <row r="59" spans="1:15" x14ac:dyDescent="0.25">
      <c r="A59" s="8">
        <v>-6</v>
      </c>
      <c r="B59" s="8">
        <v>25</v>
      </c>
      <c r="C59" s="8">
        <v>-3</v>
      </c>
      <c r="D59" s="8">
        <v>1</v>
      </c>
      <c r="L59" s="7">
        <v>-6.3986152948202504</v>
      </c>
      <c r="M59" s="7">
        <v>25.005566388871209</v>
      </c>
      <c r="N59" s="7">
        <v>1.9440606679439654</v>
      </c>
      <c r="O59" s="8">
        <v>1</v>
      </c>
    </row>
    <row r="60" spans="1:15" x14ac:dyDescent="0.25">
      <c r="A60" s="8">
        <v>-4.5</v>
      </c>
      <c r="B60" s="8">
        <v>26.5</v>
      </c>
      <c r="C60" s="8">
        <v>-3</v>
      </c>
      <c r="D60" s="8">
        <v>1</v>
      </c>
      <c r="L60" s="7">
        <v>-4.9174543469451928</v>
      </c>
      <c r="M60" s="7">
        <v>26.52417047745438</v>
      </c>
      <c r="N60" s="7">
        <v>1.9460275508448941</v>
      </c>
      <c r="O60" s="8">
        <v>1</v>
      </c>
    </row>
    <row r="61" spans="1:15" x14ac:dyDescent="0.25">
      <c r="A61" s="8">
        <v>-3</v>
      </c>
      <c r="B61" s="8">
        <v>28</v>
      </c>
      <c r="C61" s="8">
        <v>-3</v>
      </c>
      <c r="D61" s="8">
        <v>1</v>
      </c>
      <c r="L61" s="7">
        <v>-3.4362933990701348</v>
      </c>
      <c r="M61" s="7">
        <v>28.042774566037547</v>
      </c>
      <c r="N61" s="7">
        <v>1.9479944337458237</v>
      </c>
      <c r="O61" s="8">
        <v>1</v>
      </c>
    </row>
    <row r="62" spans="1:15" x14ac:dyDescent="0.25">
      <c r="A62" s="8">
        <v>-3</v>
      </c>
      <c r="B62" s="8">
        <v>28</v>
      </c>
      <c r="C62" s="8">
        <v>3</v>
      </c>
      <c r="D62" s="8">
        <v>1</v>
      </c>
      <c r="L62" s="7">
        <v>-2.4883503924300974</v>
      </c>
      <c r="M62" s="7">
        <v>27.110626338951061</v>
      </c>
      <c r="N62" s="7">
        <v>7.7988493916901556</v>
      </c>
      <c r="O62" s="8">
        <v>1</v>
      </c>
    </row>
    <row r="63" spans="1:15" x14ac:dyDescent="0.25">
      <c r="A63" s="8">
        <v>3</v>
      </c>
      <c r="B63" s="8">
        <v>28</v>
      </c>
      <c r="C63" s="8">
        <v>3</v>
      </c>
      <c r="D63" s="8">
        <v>1</v>
      </c>
      <c r="L63" s="7">
        <v>3.4362933990701348</v>
      </c>
      <c r="M63" s="7">
        <v>27.2597700552849</v>
      </c>
      <c r="N63" s="7">
        <v>6.8627125984190629</v>
      </c>
      <c r="O63" s="8">
        <v>1</v>
      </c>
    </row>
    <row r="64" spans="1:15" x14ac:dyDescent="0.25">
      <c r="A64" s="8">
        <v>3</v>
      </c>
      <c r="B64" s="8">
        <v>28</v>
      </c>
      <c r="C64" s="8">
        <v>-3</v>
      </c>
      <c r="D64" s="8">
        <v>1</v>
      </c>
      <c r="L64" s="7">
        <v>2.4883503924300974</v>
      </c>
      <c r="M64" s="7">
        <v>28.191918282371386</v>
      </c>
      <c r="N64" s="7">
        <v>1.011857640474731</v>
      </c>
      <c r="O64" s="8">
        <v>1</v>
      </c>
    </row>
    <row r="65" spans="1:20" x14ac:dyDescent="0.25">
      <c r="A65" s="8">
        <v>-6</v>
      </c>
      <c r="B65" s="8">
        <v>25</v>
      </c>
      <c r="C65" s="8">
        <v>3</v>
      </c>
      <c r="D65" s="8">
        <v>1</v>
      </c>
      <c r="E65" s="4"/>
      <c r="L65" s="7">
        <v>-5.4506722881802139</v>
      </c>
      <c r="M65" s="7">
        <v>24.073418161784723</v>
      </c>
      <c r="N65" s="7">
        <v>7.7949156258882972</v>
      </c>
      <c r="O65" s="8">
        <v>1</v>
      </c>
    </row>
    <row r="66" spans="1:20" x14ac:dyDescent="0.25">
      <c r="A66" s="8">
        <v>-6</v>
      </c>
      <c r="B66" s="8">
        <v>25</v>
      </c>
      <c r="C66" s="8">
        <v>-3</v>
      </c>
      <c r="D66" s="8">
        <v>1</v>
      </c>
      <c r="L66" s="7">
        <v>-6.3986152948202504</v>
      </c>
      <c r="M66" s="7">
        <v>25.005566388871209</v>
      </c>
      <c r="N66" s="7">
        <v>1.9440606679439654</v>
      </c>
      <c r="O66" s="8">
        <v>1</v>
      </c>
    </row>
    <row r="67" spans="1:20" x14ac:dyDescent="0.25">
      <c r="A67" s="8">
        <v>-6</v>
      </c>
      <c r="B67" s="8">
        <v>22</v>
      </c>
      <c r="C67" s="8">
        <v>3</v>
      </c>
      <c r="D67" s="8">
        <v>1</v>
      </c>
      <c r="L67" s="7">
        <v>-5.4506722881802139</v>
      </c>
      <c r="M67" s="7">
        <v>21.110781842785308</v>
      </c>
      <c r="N67" s="7">
        <v>7.3229134634508934</v>
      </c>
      <c r="O67" s="8">
        <v>1</v>
      </c>
    </row>
    <row r="68" spans="1:20" x14ac:dyDescent="0.25">
      <c r="A68" s="8">
        <v>-6</v>
      </c>
      <c r="B68" s="8">
        <v>22</v>
      </c>
      <c r="C68" s="8">
        <v>-3</v>
      </c>
      <c r="D68" s="8">
        <v>1</v>
      </c>
      <c r="L68" s="7">
        <v>-6.3986152948202504</v>
      </c>
      <c r="M68" s="7">
        <v>22.042930069871794</v>
      </c>
      <c r="N68" s="7">
        <v>1.4720585055065616</v>
      </c>
      <c r="O68" s="8">
        <v>1</v>
      </c>
    </row>
    <row r="69" spans="1:20" x14ac:dyDescent="0.25">
      <c r="A69" s="8">
        <v>-3</v>
      </c>
      <c r="B69" s="8">
        <v>22</v>
      </c>
      <c r="C69" s="8">
        <v>3</v>
      </c>
      <c r="D69" s="8">
        <v>1</v>
      </c>
      <c r="L69" s="7">
        <v>-2.4883503924300974</v>
      </c>
      <c r="M69" s="7">
        <v>21.185353700952227</v>
      </c>
      <c r="N69" s="7">
        <v>6.8548450668153462</v>
      </c>
      <c r="O69" s="8">
        <v>1</v>
      </c>
    </row>
    <row r="70" spans="1:20" x14ac:dyDescent="0.25">
      <c r="A70" s="8">
        <v>-3</v>
      </c>
      <c r="B70" s="8">
        <v>22</v>
      </c>
      <c r="C70" s="8">
        <v>-3</v>
      </c>
      <c r="D70" s="8">
        <v>1</v>
      </c>
      <c r="L70" s="7">
        <v>-3.4362933990701348</v>
      </c>
      <c r="M70" s="7">
        <v>22.117501928038713</v>
      </c>
      <c r="N70" s="7">
        <v>1.0039901088710144</v>
      </c>
      <c r="O70" s="8">
        <v>1</v>
      </c>
      <c r="Q70" s="4"/>
      <c r="R70" s="4"/>
      <c r="S70" s="4"/>
      <c r="T70" s="4"/>
    </row>
    <row r="71" spans="1:20" x14ac:dyDescent="0.25">
      <c r="A71" s="8">
        <v>-3</v>
      </c>
      <c r="B71" s="8">
        <v>5</v>
      </c>
      <c r="C71" s="8">
        <v>3</v>
      </c>
      <c r="D71" s="8">
        <v>1</v>
      </c>
      <c r="L71" s="7">
        <v>-2.4883503924300974</v>
      </c>
      <c r="M71" s="7">
        <v>4.3970812266222001</v>
      </c>
      <c r="N71" s="7">
        <v>4.1801661463367203</v>
      </c>
      <c r="O71" s="8">
        <v>1</v>
      </c>
      <c r="Q71" s="4"/>
      <c r="R71" s="4"/>
      <c r="S71" s="4"/>
      <c r="T71" s="4"/>
    </row>
    <row r="72" spans="1:20" x14ac:dyDescent="0.25">
      <c r="A72" s="8">
        <v>-3</v>
      </c>
      <c r="B72" s="8">
        <v>5</v>
      </c>
      <c r="C72" s="8">
        <v>-3</v>
      </c>
      <c r="D72" s="8">
        <v>1</v>
      </c>
      <c r="L72" s="7">
        <v>-3.4362933990701348</v>
      </c>
      <c r="M72" s="7">
        <v>5.3292294537086846</v>
      </c>
      <c r="N72" s="7">
        <v>-1.6706888116076117</v>
      </c>
      <c r="O72" s="8">
        <v>1</v>
      </c>
    </row>
    <row r="73" spans="1:20" x14ac:dyDescent="0.25">
      <c r="A73" s="8">
        <v>-3</v>
      </c>
      <c r="B73" s="8">
        <v>0</v>
      </c>
      <c r="C73" s="8">
        <v>3</v>
      </c>
      <c r="D73" s="8">
        <v>1</v>
      </c>
      <c r="L73" s="7">
        <v>-2.4883503924300974</v>
      </c>
      <c r="M73" s="7">
        <v>-0.54064597171016104</v>
      </c>
      <c r="N73" s="7">
        <v>3.3934958756077123</v>
      </c>
      <c r="O73" s="8">
        <v>1</v>
      </c>
    </row>
    <row r="74" spans="1:20" x14ac:dyDescent="0.25">
      <c r="A74" s="8">
        <v>-3</v>
      </c>
      <c r="B74" s="8">
        <v>0</v>
      </c>
      <c r="C74" s="8">
        <v>-3</v>
      </c>
      <c r="D74" s="8">
        <v>1</v>
      </c>
      <c r="L74" s="7">
        <v>-3.4362933990701348</v>
      </c>
      <c r="M74" s="7">
        <v>0.39150225537632349</v>
      </c>
      <c r="N74" s="7">
        <v>-2.4573590823366196</v>
      </c>
      <c r="O74" s="8">
        <v>1</v>
      </c>
    </row>
    <row r="75" spans="1:20" x14ac:dyDescent="0.25">
      <c r="A75" s="8">
        <v>-6</v>
      </c>
      <c r="B75" s="8">
        <v>5</v>
      </c>
      <c r="C75" s="8">
        <v>3</v>
      </c>
      <c r="D75" s="8">
        <v>1</v>
      </c>
      <c r="L75" s="7">
        <v>-5.4506722881802139</v>
      </c>
      <c r="M75" s="7">
        <v>4.3225093684552816</v>
      </c>
      <c r="N75" s="7">
        <v>4.6482345429722667</v>
      </c>
      <c r="O75" s="8">
        <v>1</v>
      </c>
    </row>
    <row r="76" spans="1:20" x14ac:dyDescent="0.25">
      <c r="A76" s="8">
        <v>-6</v>
      </c>
      <c r="B76" s="8">
        <v>5</v>
      </c>
      <c r="C76" s="8">
        <v>-3</v>
      </c>
      <c r="D76" s="8">
        <v>1</v>
      </c>
      <c r="L76" s="7">
        <v>-6.3986152948202504</v>
      </c>
      <c r="M76" s="7">
        <v>5.254657595541766</v>
      </c>
      <c r="N76" s="7">
        <v>-1.2026204149720652</v>
      </c>
      <c r="O76" s="8">
        <v>1</v>
      </c>
    </row>
    <row r="77" spans="1:20" x14ac:dyDescent="0.25">
      <c r="A77" s="8">
        <v>-6</v>
      </c>
      <c r="B77" s="8">
        <v>0</v>
      </c>
      <c r="C77" s="8">
        <v>3</v>
      </c>
      <c r="D77" s="8">
        <v>1</v>
      </c>
      <c r="L77" s="7">
        <v>-5.4506722881802139</v>
      </c>
      <c r="M77" s="7">
        <v>-0.61521782987707974</v>
      </c>
      <c r="N77" s="7">
        <v>3.861564272243259</v>
      </c>
      <c r="O77" s="8">
        <v>1</v>
      </c>
    </row>
    <row r="78" spans="1:20" x14ac:dyDescent="0.25">
      <c r="A78" s="8">
        <v>-6</v>
      </c>
      <c r="B78" s="8">
        <v>0</v>
      </c>
      <c r="C78" s="8">
        <v>-3</v>
      </c>
      <c r="D78" s="8">
        <v>1</v>
      </c>
      <c r="L78" s="7">
        <v>-6.3986152948202504</v>
      </c>
      <c r="M78" s="7">
        <v>0.31693039720940475</v>
      </c>
      <c r="N78" s="7">
        <v>-1.9892906857010728</v>
      </c>
      <c r="O78" s="8">
        <v>1</v>
      </c>
    </row>
    <row r="79" spans="1:20" x14ac:dyDescent="0.25">
      <c r="A79" s="8">
        <v>6</v>
      </c>
      <c r="B79" s="8">
        <v>5</v>
      </c>
      <c r="C79" s="8">
        <v>3</v>
      </c>
      <c r="D79" s="8">
        <v>1</v>
      </c>
      <c r="L79" s="7">
        <v>6.3986152948202504</v>
      </c>
      <c r="M79" s="7">
        <v>4.6207968011229559</v>
      </c>
      <c r="N79" s="7">
        <v>2.7759609564300805</v>
      </c>
      <c r="O79" s="8">
        <v>1</v>
      </c>
    </row>
    <row r="80" spans="1:20" x14ac:dyDescent="0.25">
      <c r="A80" s="8">
        <v>6</v>
      </c>
      <c r="B80" s="8">
        <v>5</v>
      </c>
      <c r="C80" s="8">
        <v>-3</v>
      </c>
      <c r="D80" s="8">
        <v>1</v>
      </c>
      <c r="L80" s="7">
        <v>5.4506722881802139</v>
      </c>
      <c r="M80" s="7">
        <v>5.5529450282094404</v>
      </c>
      <c r="N80" s="7">
        <v>-3.0748940015142514</v>
      </c>
      <c r="O80" s="8">
        <v>1</v>
      </c>
    </row>
    <row r="81" spans="1:15" x14ac:dyDescent="0.25">
      <c r="A81" s="8">
        <v>6</v>
      </c>
      <c r="B81" s="8">
        <v>0</v>
      </c>
      <c r="C81" s="8">
        <v>3</v>
      </c>
      <c r="D81" s="8">
        <v>1</v>
      </c>
      <c r="L81" s="7">
        <v>6.3986152948202504</v>
      </c>
      <c r="M81" s="7">
        <v>-0.31693039720940475</v>
      </c>
      <c r="N81" s="7">
        <v>1.9892906857010728</v>
      </c>
      <c r="O81" s="8">
        <v>1</v>
      </c>
    </row>
    <row r="82" spans="1:15" x14ac:dyDescent="0.25">
      <c r="A82" s="8">
        <v>6</v>
      </c>
      <c r="B82" s="8">
        <v>0</v>
      </c>
      <c r="C82" s="8">
        <v>-3</v>
      </c>
      <c r="D82" s="8">
        <v>1</v>
      </c>
      <c r="L82" s="7">
        <v>5.4506722881802139</v>
      </c>
      <c r="M82" s="7">
        <v>0.61521782987707974</v>
      </c>
      <c r="N82" s="7">
        <v>-3.861564272243259</v>
      </c>
      <c r="O82" s="8">
        <v>1</v>
      </c>
    </row>
    <row r="83" spans="1:15" x14ac:dyDescent="0.25">
      <c r="A83" s="8">
        <v>3</v>
      </c>
      <c r="B83" s="8">
        <v>5</v>
      </c>
      <c r="C83" s="8">
        <v>3</v>
      </c>
      <c r="D83" s="8">
        <v>1</v>
      </c>
      <c r="L83" s="7">
        <v>3.4362933990701348</v>
      </c>
      <c r="M83" s="7">
        <v>4.5462249429560373</v>
      </c>
      <c r="N83" s="7">
        <v>3.2440293530656268</v>
      </c>
      <c r="O83" s="8">
        <v>1</v>
      </c>
    </row>
    <row r="84" spans="1:15" x14ac:dyDescent="0.25">
      <c r="A84" s="8">
        <v>3</v>
      </c>
      <c r="B84" s="8">
        <v>5</v>
      </c>
      <c r="C84" s="8">
        <v>-3</v>
      </c>
      <c r="D84" s="8">
        <v>1</v>
      </c>
      <c r="L84" s="7">
        <v>2.4883503924300974</v>
      </c>
      <c r="M84" s="7">
        <v>5.4783731700425218</v>
      </c>
      <c r="N84" s="7">
        <v>-2.6068256048787051</v>
      </c>
      <c r="O84" s="8">
        <v>1</v>
      </c>
    </row>
    <row r="85" spans="1:15" x14ac:dyDescent="0.25">
      <c r="A85" s="8">
        <v>3</v>
      </c>
      <c r="B85" s="8">
        <v>0</v>
      </c>
      <c r="C85" s="8">
        <v>3</v>
      </c>
      <c r="D85" s="8">
        <v>1</v>
      </c>
      <c r="L85" s="7">
        <v>3.4362933990701348</v>
      </c>
      <c r="M85" s="7">
        <v>-0.39150225537632349</v>
      </c>
      <c r="N85" s="7">
        <v>2.4573590823366196</v>
      </c>
      <c r="O85" s="8">
        <v>1</v>
      </c>
    </row>
    <row r="86" spans="1:15" x14ac:dyDescent="0.25">
      <c r="A86" s="8">
        <v>3</v>
      </c>
      <c r="B86" s="8">
        <v>0</v>
      </c>
      <c r="C86" s="8">
        <v>-3</v>
      </c>
      <c r="D86" s="8">
        <v>1</v>
      </c>
      <c r="L86" s="7">
        <v>2.4883503924300974</v>
      </c>
      <c r="M86" s="7">
        <v>0.54064597171016104</v>
      </c>
      <c r="N86" s="7">
        <v>-3.3934958756077123</v>
      </c>
      <c r="O86" s="8">
        <v>1</v>
      </c>
    </row>
    <row r="87" spans="1:15" x14ac:dyDescent="0.25">
      <c r="A87" s="4"/>
      <c r="B87" s="4"/>
      <c r="C87" s="4"/>
      <c r="D87" s="4"/>
      <c r="L87" s="2"/>
      <c r="M87" s="2"/>
      <c r="N87" s="2"/>
      <c r="O87" s="2"/>
    </row>
    <row r="88" spans="1:15" x14ac:dyDescent="0.25">
      <c r="A88" s="4"/>
      <c r="B88" s="4"/>
      <c r="C88" s="4"/>
      <c r="D88" s="4"/>
      <c r="L88" s="2"/>
      <c r="M88" s="2"/>
      <c r="N88" s="2"/>
      <c r="O88" s="2"/>
    </row>
    <row r="89" spans="1:15" x14ac:dyDescent="0.25">
      <c r="A89" s="4"/>
      <c r="B89" s="4"/>
      <c r="C89" s="4"/>
      <c r="D89" s="4"/>
      <c r="L89" s="2"/>
      <c r="M89" s="2"/>
      <c r="N89" s="2"/>
      <c r="O89" s="2"/>
    </row>
    <row r="90" spans="1:15" x14ac:dyDescent="0.25">
      <c r="A90" s="4"/>
      <c r="B90" s="4"/>
      <c r="C90" s="4"/>
      <c r="D90" s="4"/>
      <c r="L90" s="2"/>
      <c r="M90" s="2"/>
      <c r="N90" s="2"/>
      <c r="O90" s="2"/>
    </row>
    <row r="91" spans="1:15" x14ac:dyDescent="0.25">
      <c r="A91" s="4"/>
      <c r="B91" s="4"/>
      <c r="C91" s="4"/>
      <c r="D91" s="4"/>
      <c r="L91" s="2"/>
      <c r="M91" s="2"/>
      <c r="N91" s="2"/>
      <c r="O91" s="2"/>
    </row>
    <row r="92" spans="1:15" x14ac:dyDescent="0.25">
      <c r="A92" s="4"/>
      <c r="B92" s="4"/>
      <c r="C92" s="4"/>
      <c r="D92" s="4"/>
      <c r="L92" s="2"/>
      <c r="M92" s="2"/>
      <c r="N92" s="2"/>
      <c r="O92" s="2"/>
    </row>
    <row r="93" spans="1:15" x14ac:dyDescent="0.25">
      <c r="A93" s="4"/>
      <c r="B93" s="4"/>
      <c r="C93" s="4"/>
      <c r="D93" s="4"/>
      <c r="L93" s="2"/>
      <c r="M93" s="2"/>
      <c r="N93" s="2"/>
      <c r="O93" s="2"/>
    </row>
    <row r="94" spans="1:15" x14ac:dyDescent="0.25">
      <c r="A94" s="4"/>
      <c r="B94" s="4"/>
      <c r="C94" s="4"/>
      <c r="D94" s="4"/>
      <c r="L94" s="2"/>
      <c r="M94" s="2"/>
      <c r="N94" s="2"/>
      <c r="O94" s="2"/>
    </row>
    <row r="95" spans="1:15" x14ac:dyDescent="0.25">
      <c r="A95" s="4"/>
      <c r="B95" s="4"/>
      <c r="C95" s="4"/>
      <c r="D95" s="4"/>
    </row>
    <row r="96" spans="1:15" x14ac:dyDescent="0.25">
      <c r="A96" s="4"/>
      <c r="B96" s="4"/>
      <c r="C96" s="4"/>
      <c r="D96" s="4"/>
    </row>
    <row r="97" spans="1:4" x14ac:dyDescent="0.25">
      <c r="A97" s="4"/>
      <c r="B97" s="4"/>
      <c r="C97" s="2"/>
      <c r="D97" s="2"/>
    </row>
    <row r="98" spans="1:4" x14ac:dyDescent="0.25">
      <c r="A98" s="4"/>
      <c r="B98" s="4"/>
      <c r="C98" s="2"/>
      <c r="D98" s="2"/>
    </row>
    <row r="99" spans="1:4" x14ac:dyDescent="0.25">
      <c r="A99" s="4"/>
      <c r="B99" s="4"/>
      <c r="C99" s="2"/>
      <c r="D99" s="2"/>
    </row>
    <row r="100" spans="1:4" x14ac:dyDescent="0.25">
      <c r="A100" s="4"/>
      <c r="B100" s="4"/>
      <c r="C100" s="2"/>
      <c r="D100" s="2"/>
    </row>
    <row r="101" spans="1:4" x14ac:dyDescent="0.25">
      <c r="A101" s="4"/>
      <c r="B101" s="4"/>
      <c r="C101" s="2"/>
      <c r="D101" s="2"/>
    </row>
    <row r="102" spans="1:4" x14ac:dyDescent="0.25">
      <c r="A102" s="4"/>
      <c r="B102" s="4"/>
      <c r="C102" s="2"/>
      <c r="D102" s="2"/>
    </row>
    <row r="103" spans="1:4" x14ac:dyDescent="0.25">
      <c r="A103" s="4"/>
      <c r="B103" s="4"/>
      <c r="C103" s="2"/>
      <c r="D103" s="2"/>
    </row>
    <row r="104" spans="1:4" x14ac:dyDescent="0.25">
      <c r="A104" s="4"/>
      <c r="B104" s="4"/>
      <c r="C104" s="2"/>
      <c r="D104" s="2"/>
    </row>
    <row r="105" spans="1:4" x14ac:dyDescent="0.25">
      <c r="A105" s="4"/>
      <c r="B105" s="4"/>
      <c r="C105" s="2"/>
      <c r="D105" s="2"/>
    </row>
    <row r="106" spans="1:4" x14ac:dyDescent="0.25">
      <c r="A106" s="4"/>
      <c r="B106" s="4"/>
      <c r="C106" s="2"/>
      <c r="D106" s="2"/>
    </row>
    <row r="107" spans="1:4" x14ac:dyDescent="0.25">
      <c r="A107" s="4"/>
      <c r="B107" s="4"/>
      <c r="C107" s="2"/>
      <c r="D107" s="2"/>
    </row>
    <row r="108" spans="1:4" x14ac:dyDescent="0.25">
      <c r="A108" s="4"/>
      <c r="B108" s="4"/>
      <c r="C108" s="2"/>
      <c r="D108" s="2"/>
    </row>
    <row r="109" spans="1:4" x14ac:dyDescent="0.25">
      <c r="A109" s="4"/>
      <c r="B109" s="4"/>
      <c r="C109" s="2"/>
      <c r="D109" s="2"/>
    </row>
    <row r="110" spans="1:4" x14ac:dyDescent="0.25">
      <c r="A110" s="4"/>
      <c r="B110" s="4"/>
      <c r="C110" s="2"/>
      <c r="D110" s="2"/>
    </row>
    <row r="111" spans="1:4" x14ac:dyDescent="0.25">
      <c r="A111" s="4"/>
      <c r="B111" s="4"/>
      <c r="C111" s="2"/>
      <c r="D111" s="2"/>
    </row>
    <row r="112" spans="1:4" x14ac:dyDescent="0.25">
      <c r="A112" s="4"/>
      <c r="B112" s="4"/>
      <c r="C112" s="2"/>
      <c r="D112" s="2"/>
    </row>
    <row r="113" spans="1:4" x14ac:dyDescent="0.25">
      <c r="A113" s="4"/>
      <c r="B113" s="4"/>
      <c r="C113" s="2"/>
      <c r="D113" s="2"/>
    </row>
    <row r="114" spans="1:4" x14ac:dyDescent="0.25">
      <c r="A114" s="4"/>
      <c r="B114" s="4"/>
      <c r="C114" s="2"/>
      <c r="D114" s="2"/>
    </row>
    <row r="115" spans="1:4" x14ac:dyDescent="0.25">
      <c r="A115" s="4"/>
      <c r="B115" s="4"/>
      <c r="C115" s="2"/>
      <c r="D115" s="2"/>
    </row>
    <row r="116" spans="1:4" x14ac:dyDescent="0.25">
      <c r="A116" s="4"/>
      <c r="B116" s="4"/>
      <c r="C116" s="2"/>
      <c r="D116" s="2"/>
    </row>
    <row r="117" spans="1:4" x14ac:dyDescent="0.25">
      <c r="A117" s="4"/>
      <c r="B117" s="4"/>
      <c r="C117" s="2"/>
      <c r="D117" s="2"/>
    </row>
    <row r="118" spans="1:4" x14ac:dyDescent="0.25">
      <c r="A118" s="4"/>
      <c r="B118" s="4"/>
      <c r="C118" s="2"/>
      <c r="D118" s="2"/>
    </row>
    <row r="119" spans="1:4" x14ac:dyDescent="0.25">
      <c r="A119" s="4"/>
      <c r="B119" s="4"/>
      <c r="C119" s="2"/>
      <c r="D119" s="2"/>
    </row>
    <row r="120" spans="1:4" x14ac:dyDescent="0.25">
      <c r="A120" s="4"/>
      <c r="B120" s="4"/>
      <c r="C120" s="2"/>
      <c r="D120" s="2"/>
    </row>
    <row r="121" spans="1:4" x14ac:dyDescent="0.25">
      <c r="B121" s="4"/>
      <c r="C121" s="2"/>
      <c r="D121" s="2"/>
    </row>
    <row r="122" spans="1:4" x14ac:dyDescent="0.25">
      <c r="B122" s="4"/>
      <c r="C122" s="2"/>
      <c r="D122" s="2"/>
    </row>
    <row r="123" spans="1:4" x14ac:dyDescent="0.25">
      <c r="B123" s="4"/>
      <c r="C123" s="2"/>
      <c r="D123" s="2"/>
    </row>
    <row r="124" spans="1:4" x14ac:dyDescent="0.25">
      <c r="B124" s="4"/>
      <c r="C124" s="2"/>
      <c r="D124" s="2"/>
    </row>
    <row r="125" spans="1:4" x14ac:dyDescent="0.25">
      <c r="B125" s="4"/>
      <c r="C125" s="2"/>
      <c r="D125" s="2"/>
    </row>
    <row r="126" spans="1:4" x14ac:dyDescent="0.25">
      <c r="B126" s="4"/>
      <c r="C126" s="2"/>
      <c r="D126" s="2"/>
    </row>
    <row r="127" spans="1:4" x14ac:dyDescent="0.25">
      <c r="B127" s="4"/>
      <c r="C127" s="2"/>
      <c r="D127" s="2"/>
    </row>
    <row r="128" spans="1:4" x14ac:dyDescent="0.25">
      <c r="B128" s="4"/>
      <c r="C128" s="2"/>
      <c r="D128" s="2"/>
    </row>
    <row r="129" spans="2:4" x14ac:dyDescent="0.25">
      <c r="B129" s="4"/>
      <c r="C129" s="2"/>
      <c r="D129" s="2"/>
    </row>
    <row r="130" spans="2:4" x14ac:dyDescent="0.25">
      <c r="B130" s="4"/>
      <c r="C130" s="2"/>
      <c r="D130" s="2"/>
    </row>
    <row r="131" spans="2:4" x14ac:dyDescent="0.25">
      <c r="B131" s="4"/>
      <c r="C131" s="2"/>
      <c r="D131" s="2"/>
    </row>
    <row r="132" spans="2:4" x14ac:dyDescent="0.25">
      <c r="B132" s="4"/>
      <c r="C132" s="2"/>
      <c r="D132" s="2"/>
    </row>
    <row r="133" spans="2:4" x14ac:dyDescent="0.25">
      <c r="B133" s="4"/>
      <c r="C133" s="2"/>
      <c r="D133" s="2"/>
    </row>
    <row r="134" spans="2:4" x14ac:dyDescent="0.25">
      <c r="B134" s="4"/>
      <c r="C134" s="2"/>
      <c r="D134" s="2"/>
    </row>
    <row r="135" spans="2:4" x14ac:dyDescent="0.25">
      <c r="B135" s="4"/>
      <c r="C135" s="2"/>
      <c r="D135" s="2"/>
    </row>
    <row r="136" spans="2:4" x14ac:dyDescent="0.25">
      <c r="B136" s="4"/>
      <c r="C136" s="2"/>
      <c r="D136" s="2"/>
    </row>
    <row r="137" spans="2:4" x14ac:dyDescent="0.25">
      <c r="B137" s="4"/>
      <c r="C137" s="2"/>
      <c r="D137" s="2"/>
    </row>
    <row r="138" spans="2:4" x14ac:dyDescent="0.25">
      <c r="B138" s="4"/>
      <c r="C138" s="2"/>
      <c r="D138" s="2"/>
    </row>
    <row r="139" spans="2:4" x14ac:dyDescent="0.25">
      <c r="B139" s="4"/>
      <c r="C139" s="2"/>
      <c r="D139" s="2"/>
    </row>
    <row r="140" spans="2:4" x14ac:dyDescent="0.25">
      <c r="B140" s="4"/>
      <c r="C140" s="2"/>
      <c r="D140" s="2"/>
    </row>
    <row r="141" spans="2:4" x14ac:dyDescent="0.25">
      <c r="B141" s="4"/>
      <c r="C141" s="2"/>
      <c r="D141" s="2"/>
    </row>
    <row r="142" spans="2:4" x14ac:dyDescent="0.25">
      <c r="B142" s="4"/>
      <c r="C142" s="2"/>
      <c r="D142" s="2"/>
    </row>
    <row r="143" spans="2:4" x14ac:dyDescent="0.25">
      <c r="B143" s="4"/>
      <c r="C143" s="2"/>
      <c r="D143" s="2"/>
    </row>
    <row r="144" spans="2:4" x14ac:dyDescent="0.25">
      <c r="B144" s="4"/>
      <c r="C144" s="2"/>
      <c r="D144" s="2"/>
    </row>
    <row r="145" spans="2:4" x14ac:dyDescent="0.25">
      <c r="B145" s="4"/>
      <c r="C145" s="2"/>
      <c r="D145" s="2"/>
    </row>
    <row r="146" spans="2:4" x14ac:dyDescent="0.25">
      <c r="B146" s="4"/>
      <c r="C146" s="2"/>
      <c r="D146" s="2"/>
    </row>
    <row r="147" spans="2:4" x14ac:dyDescent="0.25">
      <c r="B147" s="4"/>
      <c r="C147" s="2"/>
      <c r="D147" s="2"/>
    </row>
    <row r="148" spans="2:4" x14ac:dyDescent="0.25">
      <c r="B148" s="4"/>
      <c r="C148" s="2"/>
      <c r="D148" s="2"/>
    </row>
    <row r="149" spans="2:4" x14ac:dyDescent="0.25">
      <c r="B149" s="4"/>
      <c r="C149" s="2"/>
      <c r="D149" s="2"/>
    </row>
    <row r="150" spans="2:4" x14ac:dyDescent="0.25">
      <c r="B150" s="4"/>
      <c r="C150" s="2"/>
      <c r="D150" s="2"/>
    </row>
    <row r="151" spans="2:4" x14ac:dyDescent="0.25">
      <c r="B151" s="4"/>
      <c r="C151" s="2"/>
      <c r="D151" s="2"/>
    </row>
    <row r="152" spans="2:4" x14ac:dyDescent="0.25">
      <c r="B152" s="4"/>
      <c r="C152" s="2"/>
      <c r="D152" s="2"/>
    </row>
    <row r="153" spans="2:4" x14ac:dyDescent="0.25">
      <c r="B153" s="4"/>
      <c r="C153" s="2"/>
      <c r="D153" s="2"/>
    </row>
    <row r="154" spans="2:4" x14ac:dyDescent="0.25">
      <c r="B154" s="4"/>
      <c r="C154" s="2"/>
      <c r="D154" s="2"/>
    </row>
    <row r="155" spans="2:4" x14ac:dyDescent="0.25">
      <c r="B155" s="4"/>
      <c r="C155" s="2"/>
      <c r="D155" s="2"/>
    </row>
    <row r="156" spans="2:4" x14ac:dyDescent="0.25">
      <c r="B156" s="4"/>
      <c r="C156" s="2"/>
      <c r="D156" s="2"/>
    </row>
    <row r="157" spans="2:4" x14ac:dyDescent="0.25">
      <c r="B157" s="4"/>
      <c r="C157" s="2"/>
      <c r="D157" s="2"/>
    </row>
    <row r="158" spans="2:4" x14ac:dyDescent="0.25">
      <c r="B158" s="4"/>
      <c r="C158" s="2"/>
      <c r="D158" s="2"/>
    </row>
    <row r="159" spans="2:4" x14ac:dyDescent="0.25">
      <c r="B159" s="4"/>
      <c r="C159" s="2"/>
      <c r="D159" s="2"/>
    </row>
    <row r="160" spans="2:4" x14ac:dyDescent="0.25">
      <c r="B160" s="4"/>
      <c r="C160" s="2"/>
      <c r="D160" s="2"/>
    </row>
    <row r="161" spans="2:4" x14ac:dyDescent="0.25">
      <c r="B161" s="4"/>
      <c r="C161" s="2"/>
      <c r="D161" s="2"/>
    </row>
    <row r="162" spans="2:4" x14ac:dyDescent="0.25">
      <c r="B162" s="4"/>
      <c r="C162" s="2"/>
      <c r="D162" s="2"/>
    </row>
    <row r="163" spans="2:4" x14ac:dyDescent="0.25">
      <c r="B163" s="4"/>
      <c r="C163" s="2"/>
      <c r="D163" s="2"/>
    </row>
    <row r="164" spans="2:4" x14ac:dyDescent="0.25">
      <c r="B164" s="4"/>
      <c r="C164" s="2"/>
      <c r="D164" s="2"/>
    </row>
    <row r="165" spans="2:4" x14ac:dyDescent="0.25">
      <c r="B165" s="4"/>
      <c r="C165" s="2"/>
      <c r="D165" s="2"/>
    </row>
    <row r="166" spans="2:4" x14ac:dyDescent="0.25">
      <c r="B166" s="4"/>
      <c r="C166" s="2"/>
      <c r="D166" s="2"/>
    </row>
    <row r="167" spans="2:4" x14ac:dyDescent="0.25">
      <c r="B167" s="4"/>
      <c r="C167" s="2"/>
      <c r="D167" s="2"/>
    </row>
    <row r="168" spans="2:4" x14ac:dyDescent="0.25">
      <c r="B168" s="4"/>
      <c r="C168" s="2"/>
      <c r="D168" s="2"/>
    </row>
    <row r="169" spans="2:4" x14ac:dyDescent="0.25">
      <c r="B169" s="4"/>
      <c r="C169" s="2"/>
      <c r="D169" s="2"/>
    </row>
    <row r="170" spans="2:4" x14ac:dyDescent="0.25">
      <c r="B170" s="4"/>
      <c r="C170" s="2"/>
      <c r="D170" s="2"/>
    </row>
    <row r="171" spans="2:4" x14ac:dyDescent="0.25">
      <c r="B171" s="4"/>
      <c r="C171" s="2"/>
      <c r="D171" s="2"/>
    </row>
    <row r="172" spans="2:4" x14ac:dyDescent="0.25">
      <c r="B172" s="4"/>
      <c r="C172" s="2"/>
      <c r="D172" s="2"/>
    </row>
    <row r="173" spans="2:4" x14ac:dyDescent="0.25">
      <c r="B173" s="4"/>
      <c r="C173" s="2"/>
      <c r="D173" s="2"/>
    </row>
    <row r="174" spans="2:4" x14ac:dyDescent="0.25">
      <c r="B174" s="4"/>
      <c r="C174" s="2"/>
      <c r="D174" s="2"/>
    </row>
    <row r="175" spans="2:4" x14ac:dyDescent="0.25">
      <c r="B175" s="4"/>
      <c r="C175" s="2"/>
      <c r="D175" s="2"/>
    </row>
    <row r="176" spans="2:4" x14ac:dyDescent="0.25">
      <c r="B176" s="4"/>
      <c r="C176" s="2"/>
      <c r="D176" s="2"/>
    </row>
    <row r="177" spans="2:4" x14ac:dyDescent="0.25">
      <c r="B177" s="4"/>
      <c r="C177" s="2"/>
      <c r="D177" s="2"/>
    </row>
    <row r="178" spans="2:4" x14ac:dyDescent="0.25">
      <c r="B178" s="4"/>
      <c r="C178" s="2"/>
      <c r="D178" s="2"/>
    </row>
    <row r="179" spans="2:4" x14ac:dyDescent="0.25">
      <c r="B179" s="4"/>
      <c r="C179" s="2"/>
      <c r="D179" s="2"/>
    </row>
    <row r="180" spans="2:4" x14ac:dyDescent="0.25">
      <c r="B180" s="4"/>
      <c r="C180" s="2"/>
      <c r="D180" s="2"/>
    </row>
    <row r="181" spans="2:4" x14ac:dyDescent="0.25">
      <c r="B181" s="4"/>
      <c r="C181" s="2"/>
      <c r="D181" s="2"/>
    </row>
    <row r="182" spans="2:4" x14ac:dyDescent="0.25">
      <c r="B182" s="4"/>
      <c r="C182" s="2"/>
      <c r="D182" s="2"/>
    </row>
    <row r="183" spans="2:4" x14ac:dyDescent="0.25">
      <c r="B183" s="4"/>
      <c r="C183" s="2"/>
      <c r="D183" s="2"/>
    </row>
    <row r="184" spans="2:4" x14ac:dyDescent="0.25">
      <c r="B184" s="4"/>
      <c r="C184" s="2"/>
      <c r="D184" s="2"/>
    </row>
    <row r="185" spans="2:4" x14ac:dyDescent="0.25">
      <c r="B185" s="4"/>
      <c r="C185" s="2"/>
      <c r="D185" s="2"/>
    </row>
    <row r="186" spans="2:4" x14ac:dyDescent="0.25">
      <c r="B186" s="4"/>
      <c r="C186" s="2"/>
      <c r="D186" s="2"/>
    </row>
    <row r="187" spans="2:4" x14ac:dyDescent="0.25">
      <c r="B187" s="4"/>
      <c r="C187" s="2"/>
      <c r="D187" s="2"/>
    </row>
    <row r="188" spans="2:4" x14ac:dyDescent="0.25">
      <c r="B188" s="4"/>
      <c r="C188" s="2"/>
      <c r="D188" s="2"/>
    </row>
    <row r="189" spans="2:4" x14ac:dyDescent="0.25">
      <c r="B189" s="4"/>
      <c r="C189" s="2"/>
      <c r="D189" s="2"/>
    </row>
    <row r="190" spans="2:4" x14ac:dyDescent="0.25">
      <c r="B190" s="4"/>
      <c r="C190" s="2"/>
      <c r="D190" s="2"/>
    </row>
    <row r="191" spans="2:4" x14ac:dyDescent="0.25">
      <c r="B191" s="4"/>
      <c r="C191" s="2"/>
      <c r="D191" s="2"/>
    </row>
    <row r="192" spans="2:4" x14ac:dyDescent="0.25">
      <c r="B192" s="4"/>
      <c r="C192" s="2"/>
      <c r="D192" s="2"/>
    </row>
    <row r="193" spans="2:4" x14ac:dyDescent="0.25">
      <c r="B193" s="4"/>
      <c r="C193" s="2"/>
      <c r="D193" s="2"/>
    </row>
    <row r="194" spans="2:4" x14ac:dyDescent="0.25">
      <c r="B194" s="4"/>
      <c r="C194" s="2"/>
      <c r="D194" s="2"/>
    </row>
    <row r="195" spans="2:4" x14ac:dyDescent="0.25">
      <c r="B195" s="4"/>
      <c r="C195" s="2"/>
      <c r="D195" s="2"/>
    </row>
    <row r="196" spans="2:4" x14ac:dyDescent="0.25">
      <c r="B196" s="4"/>
      <c r="C196" s="2"/>
      <c r="D196" s="2"/>
    </row>
    <row r="197" spans="2:4" x14ac:dyDescent="0.25">
      <c r="B197" s="4"/>
      <c r="C197" s="2"/>
      <c r="D197" s="2"/>
    </row>
    <row r="198" spans="2:4" x14ac:dyDescent="0.25">
      <c r="B198" s="4"/>
      <c r="C198" s="2"/>
      <c r="D198" s="2"/>
    </row>
    <row r="199" spans="2:4" x14ac:dyDescent="0.25">
      <c r="B199" s="4"/>
      <c r="C199" s="2"/>
      <c r="D199" s="2"/>
    </row>
    <row r="200" spans="2:4" x14ac:dyDescent="0.25">
      <c r="B200" s="4"/>
      <c r="C200" s="2"/>
      <c r="D200" s="2"/>
    </row>
    <row r="201" spans="2:4" x14ac:dyDescent="0.25">
      <c r="B201" s="4"/>
      <c r="C201" s="2"/>
      <c r="D201" s="2"/>
    </row>
    <row r="202" spans="2:4" x14ac:dyDescent="0.25">
      <c r="B202" s="4"/>
      <c r="C202" s="2"/>
      <c r="D202" s="2"/>
    </row>
    <row r="203" spans="2:4" x14ac:dyDescent="0.25">
      <c r="B203" s="4"/>
      <c r="C203" s="2"/>
      <c r="D203" s="2"/>
    </row>
    <row r="204" spans="2:4" x14ac:dyDescent="0.25">
      <c r="B204" s="4"/>
      <c r="C204" s="2"/>
      <c r="D204" s="2"/>
    </row>
    <row r="205" spans="2:4" x14ac:dyDescent="0.25">
      <c r="B205" s="4"/>
      <c r="C205" s="2"/>
      <c r="D205" s="2"/>
    </row>
    <row r="206" spans="2:4" x14ac:dyDescent="0.25">
      <c r="B206" s="4"/>
      <c r="C206" s="2"/>
      <c r="D206" s="2"/>
    </row>
    <row r="207" spans="2:4" x14ac:dyDescent="0.25">
      <c r="B207" s="4"/>
      <c r="C207" s="2"/>
      <c r="D207" s="2"/>
    </row>
    <row r="208" spans="2:4" x14ac:dyDescent="0.25">
      <c r="B208" s="4"/>
      <c r="C208" s="2"/>
      <c r="D208" s="2"/>
    </row>
    <row r="209" spans="2:4" x14ac:dyDescent="0.25">
      <c r="B209" s="4"/>
      <c r="C209" s="2"/>
      <c r="D209" s="2"/>
    </row>
    <row r="210" spans="2:4" x14ac:dyDescent="0.25">
      <c r="B210" s="4"/>
      <c r="C210" s="2"/>
      <c r="D210" s="2"/>
    </row>
    <row r="211" spans="2:4" x14ac:dyDescent="0.25">
      <c r="B211" s="4"/>
      <c r="C211" s="2"/>
      <c r="D211" s="2"/>
    </row>
    <row r="212" spans="2:4" x14ac:dyDescent="0.25">
      <c r="B212" s="4"/>
      <c r="C212" s="2"/>
      <c r="D212" s="2"/>
    </row>
    <row r="213" spans="2:4" x14ac:dyDescent="0.25">
      <c r="B213" s="4"/>
      <c r="C213" s="2"/>
      <c r="D213" s="2"/>
    </row>
    <row r="214" spans="2:4" x14ac:dyDescent="0.25">
      <c r="B214" s="4"/>
      <c r="C214" s="2"/>
      <c r="D214" s="2"/>
    </row>
    <row r="215" spans="2:4" x14ac:dyDescent="0.25">
      <c r="B215" s="4"/>
      <c r="C215" s="2"/>
      <c r="D215" s="2"/>
    </row>
    <row r="216" spans="2:4" x14ac:dyDescent="0.25">
      <c r="B216" s="4"/>
      <c r="C216" s="2"/>
      <c r="D216" s="2"/>
    </row>
    <row r="217" spans="2:4" x14ac:dyDescent="0.25">
      <c r="B217" s="4"/>
      <c r="C217" s="2"/>
      <c r="D217" s="2"/>
    </row>
    <row r="218" spans="2:4" x14ac:dyDescent="0.25">
      <c r="B218" s="4"/>
      <c r="C218" s="2"/>
      <c r="D218" s="2"/>
    </row>
    <row r="219" spans="2:4" x14ac:dyDescent="0.25">
      <c r="B219" s="4"/>
      <c r="C219" s="2"/>
      <c r="D219" s="2"/>
    </row>
    <row r="220" spans="2:4" x14ac:dyDescent="0.25">
      <c r="B220" s="4"/>
      <c r="C220" s="2"/>
      <c r="D220" s="2"/>
    </row>
    <row r="221" spans="2:4" x14ac:dyDescent="0.25">
      <c r="B221" s="4"/>
      <c r="C221" s="2"/>
      <c r="D221" s="2"/>
    </row>
    <row r="222" spans="2:4" x14ac:dyDescent="0.25">
      <c r="B222" s="4"/>
      <c r="C222" s="2"/>
      <c r="D222" s="2"/>
    </row>
    <row r="223" spans="2:4" x14ac:dyDescent="0.25">
      <c r="B223" s="4"/>
      <c r="C223" s="2"/>
      <c r="D223" s="2"/>
    </row>
    <row r="224" spans="2:4" x14ac:dyDescent="0.25">
      <c r="B224" s="4"/>
      <c r="C224" s="2"/>
      <c r="D224" s="2"/>
    </row>
    <row r="225" spans="2:4" x14ac:dyDescent="0.25">
      <c r="B225" s="4"/>
      <c r="C225" s="2"/>
      <c r="D225" s="2"/>
    </row>
    <row r="226" spans="2:4" x14ac:dyDescent="0.25">
      <c r="B226" s="4"/>
      <c r="C226" s="2"/>
      <c r="D226" s="2"/>
    </row>
    <row r="227" spans="2:4" x14ac:dyDescent="0.25">
      <c r="B227" s="4"/>
      <c r="C227" s="2"/>
      <c r="D227" s="2"/>
    </row>
    <row r="228" spans="2:4" x14ac:dyDescent="0.25">
      <c r="B228" s="4"/>
      <c r="C228" s="2"/>
      <c r="D228" s="2"/>
    </row>
    <row r="229" spans="2:4" x14ac:dyDescent="0.25">
      <c r="B229" s="4"/>
      <c r="C229" s="2"/>
      <c r="D229" s="2"/>
    </row>
    <row r="230" spans="2:4" x14ac:dyDescent="0.25">
      <c r="B230" s="4"/>
      <c r="C230" s="2"/>
      <c r="D230" s="2"/>
    </row>
    <row r="231" spans="2:4" x14ac:dyDescent="0.25">
      <c r="B231" s="4"/>
      <c r="C231" s="2"/>
      <c r="D231" s="2"/>
    </row>
    <row r="232" spans="2:4" x14ac:dyDescent="0.25">
      <c r="B232" s="4"/>
      <c r="C232" s="2"/>
      <c r="D232" s="2"/>
    </row>
    <row r="233" spans="2:4" x14ac:dyDescent="0.25">
      <c r="B233" s="4"/>
      <c r="C233" s="2"/>
      <c r="D233" s="2"/>
    </row>
    <row r="234" spans="2:4" x14ac:dyDescent="0.25">
      <c r="B234" s="4"/>
      <c r="C234" s="2"/>
      <c r="D234" s="2"/>
    </row>
    <row r="235" spans="2:4" x14ac:dyDescent="0.25">
      <c r="B235" s="4"/>
      <c r="C235" s="2"/>
      <c r="D235" s="2"/>
    </row>
    <row r="236" spans="2:4" x14ac:dyDescent="0.25">
      <c r="B236" s="4"/>
      <c r="C236" s="2"/>
      <c r="D236" s="2"/>
    </row>
    <row r="237" spans="2:4" x14ac:dyDescent="0.25">
      <c r="B237" s="4"/>
      <c r="C237" s="2"/>
      <c r="D237" s="2"/>
    </row>
    <row r="238" spans="2:4" x14ac:dyDescent="0.25">
      <c r="B238" s="4"/>
      <c r="C238" s="2"/>
      <c r="D238" s="2"/>
    </row>
    <row r="239" spans="2:4" x14ac:dyDescent="0.25">
      <c r="B239" s="4"/>
      <c r="C239" s="2"/>
      <c r="D239" s="2"/>
    </row>
    <row r="240" spans="2:4" x14ac:dyDescent="0.25">
      <c r="B240" s="4"/>
      <c r="C240" s="2"/>
      <c r="D240" s="2"/>
    </row>
    <row r="241" spans="2:4" x14ac:dyDescent="0.25">
      <c r="B241" s="4"/>
      <c r="C241" s="2"/>
      <c r="D241" s="2"/>
    </row>
    <row r="242" spans="2:4" x14ac:dyDescent="0.25">
      <c r="B242" s="4"/>
      <c r="C242" s="2"/>
      <c r="D242" s="2"/>
    </row>
    <row r="243" spans="2:4" x14ac:dyDescent="0.25">
      <c r="B243" s="4"/>
      <c r="C243" s="2"/>
      <c r="D243" s="2"/>
    </row>
    <row r="244" spans="2:4" x14ac:dyDescent="0.25">
      <c r="B244" s="4"/>
      <c r="C244" s="2"/>
      <c r="D244" s="2"/>
    </row>
    <row r="245" spans="2:4" x14ac:dyDescent="0.25">
      <c r="B245" s="4"/>
      <c r="C245" s="2"/>
      <c r="D245" s="2"/>
    </row>
    <row r="246" spans="2:4" x14ac:dyDescent="0.25">
      <c r="B246" s="4"/>
      <c r="C246" s="2"/>
      <c r="D246" s="2"/>
    </row>
    <row r="247" spans="2:4" x14ac:dyDescent="0.25">
      <c r="B247" s="4"/>
      <c r="C247" s="2"/>
      <c r="D247" s="2"/>
    </row>
    <row r="248" spans="2:4" x14ac:dyDescent="0.25">
      <c r="B248" s="4"/>
      <c r="C248" s="2"/>
      <c r="D248" s="2"/>
    </row>
    <row r="249" spans="2:4" x14ac:dyDescent="0.25">
      <c r="B249" s="4"/>
      <c r="C249" s="2"/>
      <c r="D249" s="2"/>
    </row>
    <row r="250" spans="2:4" x14ac:dyDescent="0.25">
      <c r="B250" s="4"/>
      <c r="C250" s="2"/>
      <c r="D250" s="2"/>
    </row>
    <row r="251" spans="2:4" x14ac:dyDescent="0.25">
      <c r="B251" s="4"/>
      <c r="C251" s="2"/>
      <c r="D251" s="2"/>
    </row>
    <row r="252" spans="2:4" x14ac:dyDescent="0.25">
      <c r="B252" s="4"/>
      <c r="C252" s="2"/>
      <c r="D252" s="2"/>
    </row>
    <row r="253" spans="2:4" x14ac:dyDescent="0.25">
      <c r="B253" s="4"/>
      <c r="C253" s="2"/>
      <c r="D253" s="2"/>
    </row>
    <row r="254" spans="2:4" x14ac:dyDescent="0.25">
      <c r="B254" s="4"/>
      <c r="C254" s="2"/>
      <c r="D254" s="2"/>
    </row>
    <row r="255" spans="2:4" x14ac:dyDescent="0.25">
      <c r="B255" s="4"/>
      <c r="C255" s="2"/>
      <c r="D255" s="2"/>
    </row>
    <row r="256" spans="2:4" x14ac:dyDescent="0.25">
      <c r="B256" s="4"/>
      <c r="C256" s="2"/>
      <c r="D256" s="2"/>
    </row>
    <row r="257" spans="2:4" x14ac:dyDescent="0.25">
      <c r="B257" s="4"/>
      <c r="C257" s="2"/>
      <c r="D257" s="2"/>
    </row>
    <row r="258" spans="2:4" x14ac:dyDescent="0.25">
      <c r="B258" s="4"/>
      <c r="C258" s="2"/>
      <c r="D258" s="2"/>
    </row>
    <row r="259" spans="2:4" x14ac:dyDescent="0.25">
      <c r="B259" s="4"/>
      <c r="C259" s="2"/>
      <c r="D259" s="2"/>
    </row>
    <row r="260" spans="2:4" x14ac:dyDescent="0.25">
      <c r="B260" s="4"/>
      <c r="C260" s="2"/>
      <c r="D260" s="2"/>
    </row>
    <row r="261" spans="2:4" x14ac:dyDescent="0.25">
      <c r="B261" s="4"/>
      <c r="C261" s="2"/>
      <c r="D261" s="2"/>
    </row>
    <row r="262" spans="2:4" x14ac:dyDescent="0.25">
      <c r="B262" s="4"/>
      <c r="C262" s="2"/>
      <c r="D262" s="2"/>
    </row>
    <row r="263" spans="2:4" x14ac:dyDescent="0.25">
      <c r="B263" s="4"/>
      <c r="C263" s="2"/>
      <c r="D263" s="2"/>
    </row>
    <row r="264" spans="2:4" x14ac:dyDescent="0.25">
      <c r="B264" s="4"/>
      <c r="C264" s="2"/>
      <c r="D264" s="2"/>
    </row>
    <row r="265" spans="2:4" x14ac:dyDescent="0.25">
      <c r="B265" s="4"/>
      <c r="C265" s="2"/>
      <c r="D265" s="2"/>
    </row>
    <row r="266" spans="2:4" x14ac:dyDescent="0.25">
      <c r="B266" s="4"/>
      <c r="C266" s="2"/>
      <c r="D266" s="2"/>
    </row>
    <row r="267" spans="2:4" x14ac:dyDescent="0.25">
      <c r="B267" s="4"/>
      <c r="C267" s="2"/>
      <c r="D267" s="2"/>
    </row>
    <row r="268" spans="2:4" x14ac:dyDescent="0.25">
      <c r="B268" s="4"/>
      <c r="C268" s="2"/>
      <c r="D268" s="2"/>
    </row>
    <row r="269" spans="2:4" x14ac:dyDescent="0.25">
      <c r="B269" s="4"/>
      <c r="C269" s="2"/>
      <c r="D269" s="2"/>
    </row>
    <row r="270" spans="2:4" x14ac:dyDescent="0.25">
      <c r="B270" s="2"/>
      <c r="C270" s="2"/>
      <c r="D270" s="2"/>
    </row>
    <row r="271" spans="2:4" x14ac:dyDescent="0.25">
      <c r="B271" s="2"/>
      <c r="C271" s="2"/>
      <c r="D271" s="2"/>
    </row>
  </sheetData>
  <mergeCells count="5">
    <mergeCell ref="F9:F12"/>
    <mergeCell ref="F14:F17"/>
    <mergeCell ref="F19:F22"/>
    <mergeCell ref="F24:F27"/>
    <mergeCell ref="F29:F3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B8F7F1B2E82645B5162B8D3EFD1D2F" ma:contentTypeVersion="2" ma:contentTypeDescription="Crear nuevo documento." ma:contentTypeScope="" ma:versionID="101d2471377bb332212c6408b8039e62">
  <xsd:schema xmlns:xsd="http://www.w3.org/2001/XMLSchema" xmlns:xs="http://www.w3.org/2001/XMLSchema" xmlns:p="http://schemas.microsoft.com/office/2006/metadata/properties" xmlns:ns2="6a9fb4ba-7640-4034-8607-ebaec7dd67e5" targetNamespace="http://schemas.microsoft.com/office/2006/metadata/properties" ma:root="true" ma:fieldsID="79e3da8bad86ae82eaa798f49ab5276b" ns2:_="">
    <xsd:import namespace="6a9fb4ba-7640-4034-8607-ebaec7dd6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fb4ba-7640-4034-8607-ebaec7dd6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602B23-BE8B-4433-BECF-0DB55D0E47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BF68E3-F49C-4A77-AA4C-A7E6FF179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9fb4ba-7640-4034-8607-ebaec7dd67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92D43-D926-4B69-9B81-2624316E1EA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a9fb4ba-7640-4034-8607-ebaec7dd67e5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OBJETO 3D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Martínez Lorenzo</dc:creator>
  <cp:lastModifiedBy>Luis Ángel Martínez Lorenzo</cp:lastModifiedBy>
  <cp:lastPrinted>2017-04-24T13:41:38Z</cp:lastPrinted>
  <dcterms:created xsi:type="dcterms:W3CDTF">2017-04-24T13:39:13Z</dcterms:created>
  <dcterms:modified xsi:type="dcterms:W3CDTF">2022-06-19T00:33:00Z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0x010100F1B8F7F1B2E82645B5162B8D3EFD1D2F</vt:lpwstr>
  </property>
</Properties>
</file>