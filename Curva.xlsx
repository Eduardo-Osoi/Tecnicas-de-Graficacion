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draui\Downloads\Chable Hernandez David Manuel - 192H17064\Unidad II\"/>
    </mc:Choice>
  </mc:AlternateContent>
  <bookViews>
    <workbookView xWindow="0" yWindow="0" windowWidth="20490" windowHeight="7740"/>
  </bookViews>
  <sheets>
    <sheet name="Hoja1" sheetId="13" r:id="rId1"/>
  </sheets>
  <calcPr calcId="152511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3" l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BU4" i="13"/>
  <c r="BV4" i="13"/>
  <c r="BW4" i="13"/>
  <c r="BX4" i="13"/>
  <c r="BY4" i="13"/>
  <c r="BZ4" i="13"/>
  <c r="CA4" i="13"/>
  <c r="CB4" i="13"/>
  <c r="CC4" i="13"/>
  <c r="CD4" i="13"/>
  <c r="CE4" i="13"/>
  <c r="CF4" i="13"/>
  <c r="CG4" i="13"/>
  <c r="CH4" i="13"/>
  <c r="CI4" i="13"/>
  <c r="CJ4" i="13"/>
  <c r="CK4" i="13"/>
  <c r="CL4" i="13"/>
  <c r="CM4" i="13"/>
  <c r="CN4" i="13"/>
  <c r="CO4" i="13"/>
  <c r="CP4" i="13"/>
  <c r="CQ4" i="13"/>
  <c r="CR4" i="13"/>
  <c r="CS4" i="13"/>
  <c r="CT4" i="13"/>
  <c r="CU4" i="13"/>
  <c r="CV4" i="13"/>
  <c r="CW4" i="13"/>
  <c r="CX4" i="13"/>
  <c r="CY4" i="13"/>
  <c r="CZ4" i="13"/>
  <c r="DA4" i="13"/>
  <c r="DB4" i="13"/>
  <c r="DC4" i="13"/>
  <c r="DD4" i="13"/>
  <c r="DE4" i="13"/>
  <c r="DF4" i="13"/>
  <c r="DG4" i="13"/>
  <c r="DH4" i="13"/>
  <c r="DI4" i="13"/>
  <c r="DJ4" i="13"/>
  <c r="DK4" i="13"/>
  <c r="DL4" i="13"/>
  <c r="DM4" i="13"/>
  <c r="DN4" i="13"/>
  <c r="DO4" i="13"/>
  <c r="DP4" i="13"/>
  <c r="DQ4" i="13"/>
  <c r="DR4" i="13"/>
  <c r="DS4" i="13"/>
  <c r="DT4" i="13"/>
  <c r="DU4" i="13"/>
  <c r="DV4" i="13"/>
  <c r="DW4" i="13"/>
  <c r="DX4" i="13"/>
  <c r="DY4" i="13"/>
  <c r="DZ4" i="13"/>
  <c r="EA4" i="13"/>
  <c r="EB4" i="13"/>
  <c r="EC4" i="13"/>
  <c r="ED4" i="13"/>
  <c r="EE4" i="13"/>
  <c r="EF4" i="13"/>
  <c r="EG4" i="13"/>
  <c r="EH4" i="13"/>
  <c r="EI4" i="13"/>
  <c r="EJ4" i="13"/>
  <c r="EK4" i="13"/>
  <c r="EL4" i="13"/>
  <c r="EM4" i="13"/>
  <c r="EN4" i="13"/>
  <c r="EO4" i="13"/>
  <c r="EP4" i="13"/>
  <c r="EQ4" i="13"/>
  <c r="ER4" i="13"/>
  <c r="ES4" i="13"/>
  <c r="ET4" i="13"/>
  <c r="EU4" i="13"/>
  <c r="EV4" i="13"/>
  <c r="EW4" i="13"/>
  <c r="EX4" i="13"/>
  <c r="EY4" i="13"/>
  <c r="EZ4" i="13"/>
  <c r="FA4" i="13"/>
  <c r="FB4" i="13"/>
  <c r="FC4" i="13"/>
  <c r="FD4" i="13"/>
  <c r="FE4" i="13"/>
  <c r="FF4" i="13"/>
  <c r="FG4" i="13"/>
  <c r="FH4" i="13"/>
  <c r="FI4" i="13"/>
  <c r="FJ4" i="13"/>
  <c r="FK4" i="13"/>
  <c r="FL4" i="13"/>
  <c r="FM4" i="13"/>
  <c r="FN4" i="13"/>
  <c r="FO4" i="13"/>
  <c r="FP4" i="13"/>
  <c r="FQ4" i="13"/>
  <c r="FR4" i="13"/>
  <c r="FS4" i="13"/>
  <c r="FT4" i="13"/>
  <c r="FU4" i="13"/>
  <c r="FV4" i="13"/>
  <c r="FW4" i="13"/>
  <c r="FX4" i="13"/>
  <c r="FY4" i="13"/>
  <c r="FZ4" i="13"/>
  <c r="GA4" i="13"/>
  <c r="GB4" i="13"/>
  <c r="GC4" i="13"/>
  <c r="GD4" i="13"/>
  <c r="GE4" i="13"/>
  <c r="GF4" i="13"/>
  <c r="GG4" i="13"/>
  <c r="GH4" i="13"/>
  <c r="GI4" i="13"/>
  <c r="GJ4" i="13"/>
  <c r="GK4" i="13"/>
  <c r="GL4" i="13"/>
  <c r="GM4" i="13"/>
  <c r="GN4" i="13"/>
  <c r="GO4" i="13"/>
  <c r="GP4" i="13"/>
  <c r="GQ4" i="13"/>
  <c r="GR4" i="13"/>
  <c r="GS4" i="13"/>
  <c r="GT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BC5" i="13"/>
  <c r="BD5" i="13"/>
  <c r="BE5" i="13"/>
  <c r="BF5" i="13"/>
  <c r="BG5" i="13"/>
  <c r="BH5" i="13"/>
  <c r="BI5" i="13"/>
  <c r="BJ5" i="13"/>
  <c r="BK5" i="13"/>
  <c r="BL5" i="13"/>
  <c r="BM5" i="13"/>
  <c r="BN5" i="13"/>
  <c r="BO5" i="13"/>
  <c r="BP5" i="13"/>
  <c r="BQ5" i="13"/>
  <c r="BR5" i="13"/>
  <c r="BS5" i="13"/>
  <c r="BT5" i="13"/>
  <c r="BU5" i="13"/>
  <c r="BV5" i="13"/>
  <c r="BW5" i="13"/>
  <c r="BX5" i="13"/>
  <c r="BY5" i="13"/>
  <c r="BZ5" i="13"/>
  <c r="CA5" i="13"/>
  <c r="CB5" i="13"/>
  <c r="CC5" i="13"/>
  <c r="CD5" i="13"/>
  <c r="CE5" i="13"/>
  <c r="CF5" i="13"/>
  <c r="CG5" i="13"/>
  <c r="CH5" i="13"/>
  <c r="CI5" i="13"/>
  <c r="CJ5" i="13"/>
  <c r="CK5" i="13"/>
  <c r="CL5" i="13"/>
  <c r="CM5" i="13"/>
  <c r="CN5" i="13"/>
  <c r="CO5" i="13"/>
  <c r="CP5" i="13"/>
  <c r="CQ5" i="13"/>
  <c r="CR5" i="13"/>
  <c r="CS5" i="13"/>
  <c r="CT5" i="13"/>
  <c r="CU5" i="13"/>
  <c r="CV5" i="13"/>
  <c r="CW5" i="13"/>
  <c r="CX5" i="13"/>
  <c r="CY5" i="13"/>
  <c r="CZ5" i="13"/>
  <c r="DA5" i="13"/>
  <c r="DB5" i="13"/>
  <c r="DC5" i="13"/>
  <c r="DD5" i="13"/>
  <c r="DE5" i="13"/>
  <c r="DF5" i="13"/>
  <c r="DG5" i="13"/>
  <c r="DH5" i="13"/>
  <c r="DI5" i="13"/>
  <c r="DJ5" i="13"/>
  <c r="DK5" i="13"/>
  <c r="DL5" i="13"/>
  <c r="DM5" i="13"/>
  <c r="DN5" i="13"/>
  <c r="DO5" i="13"/>
  <c r="DP5" i="13"/>
  <c r="DQ5" i="13"/>
  <c r="DR5" i="13"/>
  <c r="DS5" i="13"/>
  <c r="DT5" i="13"/>
  <c r="DU5" i="13"/>
  <c r="DV5" i="13"/>
  <c r="DW5" i="13"/>
  <c r="DX5" i="13"/>
  <c r="DY5" i="13"/>
  <c r="DZ5" i="13"/>
  <c r="EA5" i="13"/>
  <c r="EB5" i="13"/>
  <c r="EC5" i="13"/>
  <c r="ED5" i="13"/>
  <c r="EE5" i="13"/>
  <c r="EF5" i="13"/>
  <c r="EG5" i="13"/>
  <c r="EH5" i="13"/>
  <c r="EI5" i="13"/>
  <c r="EJ5" i="13"/>
  <c r="EK5" i="13"/>
  <c r="EL5" i="13"/>
  <c r="EM5" i="13"/>
  <c r="EN5" i="13"/>
  <c r="EO5" i="13"/>
  <c r="EP5" i="13"/>
  <c r="EQ5" i="13"/>
  <c r="ER5" i="13"/>
  <c r="ES5" i="13"/>
  <c r="ET5" i="13"/>
  <c r="EU5" i="13"/>
  <c r="EV5" i="13"/>
  <c r="EW5" i="13"/>
  <c r="EX5" i="13"/>
  <c r="EY5" i="13"/>
  <c r="EZ5" i="13"/>
  <c r="FA5" i="13"/>
  <c r="FB5" i="13"/>
  <c r="FC5" i="13"/>
  <c r="FD5" i="13"/>
  <c r="FE5" i="13"/>
  <c r="FF5" i="13"/>
  <c r="FG5" i="13"/>
  <c r="FH5" i="13"/>
  <c r="FI5" i="13"/>
  <c r="FJ5" i="13"/>
  <c r="FK5" i="13"/>
  <c r="FL5" i="13"/>
  <c r="FM5" i="13"/>
  <c r="FN5" i="13"/>
  <c r="FO5" i="13"/>
  <c r="FP5" i="13"/>
  <c r="FQ5" i="13"/>
  <c r="FR5" i="13"/>
  <c r="FS5" i="13"/>
  <c r="FT5" i="13"/>
  <c r="FU5" i="13"/>
  <c r="FV5" i="13"/>
  <c r="FW5" i="13"/>
  <c r="FX5" i="13"/>
  <c r="FY5" i="13"/>
  <c r="FZ5" i="13"/>
  <c r="GA5" i="13"/>
  <c r="GB5" i="13"/>
  <c r="GC5" i="13"/>
  <c r="GD5" i="13"/>
  <c r="GE5" i="13"/>
  <c r="GF5" i="13"/>
  <c r="GG5" i="13"/>
  <c r="GH5" i="13"/>
  <c r="GI5" i="13"/>
  <c r="GJ5" i="13"/>
  <c r="GK5" i="13"/>
  <c r="GL5" i="13"/>
  <c r="GM5" i="13"/>
  <c r="GN5" i="13"/>
  <c r="GO5" i="13"/>
  <c r="GP5" i="13"/>
  <c r="GQ5" i="13"/>
  <c r="GR5" i="13"/>
  <c r="GS5" i="13"/>
  <c r="GT5" i="13"/>
  <c r="B5" i="13"/>
  <c r="B4" i="13"/>
  <c r="DC2" i="13"/>
  <c r="DD2" i="13"/>
  <c r="DE2" i="13"/>
  <c r="DF2" i="13"/>
  <c r="DG2" i="13"/>
  <c r="DH2" i="13"/>
  <c r="DI2" i="13"/>
  <c r="DJ2" i="13"/>
  <c r="DK2" i="13"/>
  <c r="DL2" i="13"/>
  <c r="DM2" i="13"/>
  <c r="DN2" i="13"/>
  <c r="DO2" i="13"/>
  <c r="DP2" i="13"/>
  <c r="DQ2" i="13"/>
  <c r="DR2" i="13"/>
  <c r="DS2" i="13"/>
  <c r="DT2" i="13"/>
  <c r="DU2" i="13"/>
  <c r="DV2" i="13"/>
  <c r="DW2" i="13"/>
  <c r="DX2" i="13"/>
  <c r="DY2" i="13"/>
  <c r="DZ2" i="13"/>
  <c r="EA2" i="13"/>
  <c r="EB2" i="13"/>
  <c r="EC2" i="13"/>
  <c r="ED2" i="13"/>
  <c r="EE2" i="13"/>
  <c r="EF2" i="13"/>
  <c r="EG2" i="13"/>
  <c r="EH2" i="13"/>
  <c r="EI2" i="13"/>
  <c r="EJ2" i="13"/>
  <c r="EK2" i="13"/>
  <c r="EL2" i="13"/>
  <c r="EM2" i="13"/>
  <c r="EN2" i="13"/>
  <c r="EO2" i="13"/>
  <c r="EP2" i="13"/>
  <c r="EQ2" i="13"/>
  <c r="ER2" i="13"/>
  <c r="ES2" i="13"/>
  <c r="ET2" i="13"/>
  <c r="EU2" i="13"/>
  <c r="EV2" i="13"/>
  <c r="EW2" i="13"/>
  <c r="EX2" i="13"/>
  <c r="EY2" i="13"/>
  <c r="EZ2" i="13"/>
  <c r="FA2" i="13"/>
  <c r="FB2" i="13"/>
  <c r="FC2" i="13"/>
  <c r="FD2" i="13"/>
  <c r="FE2" i="13"/>
  <c r="FF2" i="13"/>
  <c r="FG2" i="13"/>
  <c r="FH2" i="13"/>
  <c r="FI2" i="13"/>
  <c r="FJ2" i="13"/>
  <c r="FK2" i="13"/>
  <c r="FL2" i="13"/>
  <c r="FM2" i="13"/>
  <c r="FN2" i="13"/>
  <c r="FO2" i="13"/>
  <c r="FP2" i="13"/>
  <c r="FQ2" i="13"/>
  <c r="FR2" i="13"/>
  <c r="FS2" i="13"/>
  <c r="FT2" i="13"/>
  <c r="FU2" i="13"/>
  <c r="FV2" i="13"/>
  <c r="FW2" i="13"/>
  <c r="FX2" i="13"/>
  <c r="FY2" i="13"/>
  <c r="FZ2" i="13"/>
  <c r="GA2" i="13"/>
  <c r="GB2" i="13"/>
  <c r="GC2" i="13"/>
  <c r="GD2" i="13"/>
  <c r="GE2" i="13"/>
  <c r="GF2" i="13"/>
  <c r="GG2" i="13"/>
  <c r="GH2" i="13"/>
  <c r="GI2" i="13"/>
  <c r="GJ2" i="13"/>
  <c r="GK2" i="13"/>
  <c r="GL2" i="13"/>
  <c r="GM2" i="13"/>
  <c r="GN2" i="13"/>
  <c r="GO2" i="13"/>
  <c r="GP2" i="13"/>
  <c r="GQ2" i="13"/>
  <c r="GR2" i="13"/>
  <c r="GS2" i="13"/>
  <c r="GT2" i="13"/>
  <c r="DC3" i="13"/>
  <c r="DD3" i="13"/>
  <c r="DE3" i="13"/>
  <c r="DF3" i="13"/>
  <c r="DG3" i="13"/>
  <c r="DH3" i="13"/>
  <c r="DI3" i="13"/>
  <c r="DJ3" i="13"/>
  <c r="DK3" i="13"/>
  <c r="DL3" i="13"/>
  <c r="DM3" i="13"/>
  <c r="DN3" i="13"/>
  <c r="DO3" i="13"/>
  <c r="DP3" i="13"/>
  <c r="DQ3" i="13"/>
  <c r="DR3" i="13"/>
  <c r="DS3" i="13"/>
  <c r="DT3" i="13"/>
  <c r="DU3" i="13"/>
  <c r="DV3" i="13"/>
  <c r="DW3" i="13"/>
  <c r="DX3" i="13"/>
  <c r="DY3" i="13"/>
  <c r="DZ3" i="13"/>
  <c r="EA3" i="13"/>
  <c r="EB3" i="13"/>
  <c r="EC3" i="13"/>
  <c r="ED3" i="13"/>
  <c r="EE3" i="13"/>
  <c r="EF3" i="13"/>
  <c r="EG3" i="13"/>
  <c r="EH3" i="13"/>
  <c r="EI3" i="13"/>
  <c r="EJ3" i="13"/>
  <c r="EK3" i="13"/>
  <c r="EL3" i="13"/>
  <c r="EM3" i="13"/>
  <c r="EN3" i="13"/>
  <c r="EO3" i="13"/>
  <c r="EP3" i="13"/>
  <c r="EQ3" i="13"/>
  <c r="ER3" i="13"/>
  <c r="ES3" i="13"/>
  <c r="ET3" i="13"/>
  <c r="EU3" i="13"/>
  <c r="EV3" i="13"/>
  <c r="EW3" i="13"/>
  <c r="EX3" i="13"/>
  <c r="EY3" i="13"/>
  <c r="EZ3" i="13"/>
  <c r="FA3" i="13"/>
  <c r="FB3" i="13"/>
  <c r="FC3" i="13"/>
  <c r="FD3" i="13"/>
  <c r="FE3" i="13"/>
  <c r="FF3" i="13"/>
  <c r="FG3" i="13"/>
  <c r="FH3" i="13"/>
  <c r="FI3" i="13"/>
  <c r="FJ3" i="13"/>
  <c r="FK3" i="13"/>
  <c r="FL3" i="13"/>
  <c r="FM3" i="13"/>
  <c r="FN3" i="13"/>
  <c r="FO3" i="13"/>
  <c r="FP3" i="13"/>
  <c r="FQ3" i="13"/>
  <c r="FR3" i="13"/>
  <c r="FS3" i="13"/>
  <c r="FT3" i="13"/>
  <c r="FU3" i="13"/>
  <c r="FV3" i="13"/>
  <c r="FW3" i="13"/>
  <c r="FX3" i="13"/>
  <c r="FY3" i="13"/>
  <c r="FZ3" i="13"/>
  <c r="GA3" i="13"/>
  <c r="GB3" i="13"/>
  <c r="GC3" i="13"/>
  <c r="GD3" i="13"/>
  <c r="GE3" i="13"/>
  <c r="GF3" i="13"/>
  <c r="GG3" i="13"/>
  <c r="GH3" i="13"/>
  <c r="GI3" i="13"/>
  <c r="GJ3" i="13"/>
  <c r="GK3" i="13"/>
  <c r="GL3" i="13"/>
  <c r="GM3" i="13"/>
  <c r="GN3" i="13"/>
  <c r="GO3" i="13"/>
  <c r="GP3" i="13"/>
  <c r="GQ3" i="13"/>
  <c r="GR3" i="13"/>
  <c r="GS3" i="13"/>
  <c r="GT3" i="13"/>
  <c r="DB2" i="13"/>
  <c r="DB3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BC2" i="13"/>
  <c r="BD2" i="13"/>
  <c r="BE2" i="13"/>
  <c r="BF2" i="13"/>
  <c r="BG2" i="13"/>
  <c r="BH2" i="13"/>
  <c r="BI2" i="13"/>
  <c r="BJ2" i="13"/>
  <c r="BK2" i="13"/>
  <c r="BL2" i="13"/>
  <c r="BM2" i="13"/>
  <c r="BN2" i="13"/>
  <c r="BO2" i="13"/>
  <c r="BP2" i="13"/>
  <c r="BQ2" i="13"/>
  <c r="BR2" i="13"/>
  <c r="BS2" i="13"/>
  <c r="BT2" i="13"/>
  <c r="BU2" i="13"/>
  <c r="BV2" i="13"/>
  <c r="BW2" i="13"/>
  <c r="BX2" i="13"/>
  <c r="BY2" i="13"/>
  <c r="BZ2" i="13"/>
  <c r="CA2" i="13"/>
  <c r="CB2" i="13"/>
  <c r="CC2" i="13"/>
  <c r="CD2" i="13"/>
  <c r="CE2" i="13"/>
  <c r="CF2" i="13"/>
  <c r="CG2" i="13"/>
  <c r="CH2" i="13"/>
  <c r="CI2" i="13"/>
  <c r="CJ2" i="13"/>
  <c r="CK2" i="13"/>
  <c r="CL2" i="13"/>
  <c r="CM2" i="13"/>
  <c r="CN2" i="13"/>
  <c r="CO2" i="13"/>
  <c r="CP2" i="13"/>
  <c r="CQ2" i="13"/>
  <c r="CR2" i="13"/>
  <c r="CS2" i="13"/>
  <c r="CT2" i="13"/>
  <c r="CU2" i="13"/>
  <c r="CV2" i="13"/>
  <c r="CW2" i="13"/>
  <c r="CX2" i="13"/>
  <c r="CY2" i="13"/>
  <c r="CZ2" i="13"/>
  <c r="DA2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O3" i="13"/>
  <c r="BP3" i="13"/>
  <c r="BQ3" i="13"/>
  <c r="BR3" i="13"/>
  <c r="BS3" i="13"/>
  <c r="BT3" i="13"/>
  <c r="BU3" i="13"/>
  <c r="BV3" i="13"/>
  <c r="BW3" i="13"/>
  <c r="BX3" i="13"/>
  <c r="BY3" i="13"/>
  <c r="BZ3" i="13"/>
  <c r="CA3" i="13"/>
  <c r="CB3" i="13"/>
  <c r="CC3" i="13"/>
  <c r="CD3" i="13"/>
  <c r="CE3" i="13"/>
  <c r="CF3" i="13"/>
  <c r="CG3" i="13"/>
  <c r="CH3" i="13"/>
  <c r="CI3" i="13"/>
  <c r="CJ3" i="13"/>
  <c r="CK3" i="13"/>
  <c r="CL3" i="13"/>
  <c r="CM3" i="13"/>
  <c r="CN3" i="13"/>
  <c r="CO3" i="13"/>
  <c r="CP3" i="13"/>
  <c r="CQ3" i="13"/>
  <c r="CR3" i="13"/>
  <c r="CS3" i="13"/>
  <c r="CT3" i="13"/>
  <c r="CU3" i="13"/>
  <c r="CV3" i="13"/>
  <c r="CW3" i="13"/>
  <c r="CX3" i="13"/>
  <c r="CY3" i="13"/>
  <c r="CZ3" i="13"/>
  <c r="DA3" i="13"/>
  <c r="AA2" i="13"/>
  <c r="AB2" i="13"/>
  <c r="AA3" i="13"/>
  <c r="AB3" i="13"/>
  <c r="E3" i="13"/>
  <c r="F2" i="13"/>
  <c r="C2" i="13"/>
  <c r="B3" i="13"/>
  <c r="C3" i="13"/>
  <c r="D2" i="13" l="1"/>
  <c r="D3" i="13" l="1"/>
  <c r="E2" i="13"/>
  <c r="F3" i="13" l="1"/>
  <c r="G2" i="13"/>
  <c r="G3" i="13" l="1"/>
  <c r="H2" i="13"/>
  <c r="H3" i="13" l="1"/>
  <c r="I2" i="13"/>
  <c r="I3" i="13" l="1"/>
  <c r="J2" i="13"/>
  <c r="J3" i="13" l="1"/>
  <c r="K2" i="13"/>
  <c r="K3" i="13" l="1"/>
  <c r="L2" i="13"/>
  <c r="L3" i="13" l="1"/>
  <c r="M2" i="13"/>
  <c r="M3" i="13" l="1"/>
  <c r="N2" i="13"/>
  <c r="N3" i="13" l="1"/>
  <c r="O2" i="13"/>
  <c r="O3" i="13" l="1"/>
  <c r="P2" i="13"/>
  <c r="P3" i="13" l="1"/>
  <c r="Q2" i="13"/>
  <c r="Q3" i="13" l="1"/>
  <c r="R2" i="13"/>
  <c r="R3" i="13" l="1"/>
  <c r="S2" i="13"/>
  <c r="S3" i="13" l="1"/>
  <c r="T2" i="13"/>
  <c r="T3" i="13" l="1"/>
  <c r="U2" i="13"/>
  <c r="U3" i="13" l="1"/>
  <c r="V2" i="13"/>
  <c r="V3" i="13" l="1"/>
  <c r="W2" i="13"/>
  <c r="W3" i="13" l="1"/>
  <c r="X2" i="13"/>
  <c r="X3" i="13" l="1"/>
  <c r="Y2" i="13"/>
  <c r="Y3" i="13" l="1"/>
  <c r="Z2" i="13"/>
  <c r="Z3" i="13" s="1"/>
  <c r="E13" i="13"/>
  <c r="H13" i="13"/>
  <c r="E15" i="13"/>
  <c r="E16" i="13"/>
  <c r="H16" i="13"/>
  <c r="I16" i="13"/>
  <c r="J16" i="13"/>
  <c r="E17" i="13"/>
  <c r="H17" i="13"/>
  <c r="I17" i="13"/>
  <c r="J17" i="13"/>
  <c r="E18" i="13"/>
  <c r="E19" i="13"/>
  <c r="B21" i="13" a="1"/>
  <c r="B21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B22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B23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</calcChain>
</file>

<file path=xl/sharedStrings.xml><?xml version="1.0" encoding="utf-8"?>
<sst xmlns="http://schemas.openxmlformats.org/spreadsheetml/2006/main" count="20" uniqueCount="18">
  <si>
    <t>t</t>
  </si>
  <si>
    <t>radianes</t>
  </si>
  <si>
    <t>x</t>
  </si>
  <si>
    <t>y</t>
  </si>
  <si>
    <t>Inc</t>
  </si>
  <si>
    <t>Ang</t>
  </si>
  <si>
    <t>Rad</t>
  </si>
  <si>
    <t>Tx</t>
  </si>
  <si>
    <t>Ty</t>
  </si>
  <si>
    <t>dx</t>
  </si>
  <si>
    <t>dy</t>
  </si>
  <si>
    <t>giro</t>
  </si>
  <si>
    <t>x'</t>
  </si>
  <si>
    <t>y'</t>
  </si>
  <si>
    <t>Matriz TraslaciónRotación</t>
  </si>
  <si>
    <t>y=17seno(t)+7seno(17t/7)</t>
  </si>
  <si>
    <t>X=17cos(t)+7cos(17t/7)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</si>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</sst>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Hoja1!$B$4:$GT$4</c:f>
              <c:numCache>
                <c:formatCode>General</c:formatCode>
                <c:ptCount val="201"/>
                <c:pt idx="0">
                  <c:v>24</c:v>
                </c:pt>
                <c:pt idx="1">
                  <c:v>22.052923505280837</c:v>
                </c:pt>
                <c:pt idx="2">
                  <c:v>16.785718085211791</c:v>
                </c:pt>
                <c:pt idx="3">
                  <c:v>9.7088618464851386</c:v>
                </c:pt>
                <c:pt idx="4">
                  <c:v>2.7163285797880388</c:v>
                </c:pt>
                <c:pt idx="5">
                  <c:v>-2.5951811667759372</c:v>
                </c:pt>
                <c:pt idx="6">
                  <c:v>-5.4728203772762063</c:v>
                </c:pt>
                <c:pt idx="7">
                  <c:v>-6.2116570824604986</c:v>
                </c:pt>
                <c:pt idx="8">
                  <c:v>-5.9426128294352347</c:v>
                </c:pt>
                <c:pt idx="9">
                  <c:v>-6.0937458855733189</c:v>
                </c:pt>
                <c:pt idx="10">
                  <c:v>-7.742005284067198</c:v>
                </c:pt>
                <c:pt idx="11">
                  <c:v>-11.114936984895987</c:v>
                </c:pt>
                <c:pt idx="12">
                  <c:v>-15.442353462305803</c:v>
                </c:pt>
                <c:pt idx="13">
                  <c:v>-19.219983217152347</c:v>
                </c:pt>
                <c:pt idx="14">
                  <c:v>-20.784609690826528</c:v>
                </c:pt>
                <c:pt idx="15">
                  <c:v>-18.976800749424008</c:v>
                </c:pt>
                <c:pt idx="16">
                  <c:v>-13.631363102808796</c:v>
                </c:pt>
                <c:pt idx="17">
                  <c:v>-5.7013050168832455</c:v>
                </c:pt>
                <c:pt idx="18">
                  <c:v>3.0371861738229011</c:v>
                </c:pt>
                <c:pt idx="19">
                  <c:v>10.588731521275108</c:v>
                </c:pt>
                <c:pt idx="20">
                  <c:v>15.421815783575902</c:v>
                </c:pt>
                <c:pt idx="21">
                  <c:v>16.970562748477146</c:v>
                </c:pt>
                <c:pt idx="22">
                  <c:v>15.765727727568681</c:v>
                </c:pt>
                <c:pt idx="23">
                  <c:v>13.149858649002732</c:v>
                </c:pt>
                <c:pt idx="24">
                  <c:v>10.693217924683063</c:v>
                </c:pt>
                <c:pt idx="25">
                  <c:v>9.5427737342811465</c:v>
                </c:pt>
                <c:pt idx="26">
                  <c:v>9.9612226999390217</c:v>
                </c:pt>
                <c:pt idx="27">
                  <c:v>11.237063947448146</c:v>
                </c:pt>
                <c:pt idx="28">
                  <c:v>11.999999999999998</c:v>
                </c:pt>
                <c:pt idx="29">
                  <c:v>10.815859557832683</c:v>
                </c:pt>
                <c:pt idx="30">
                  <c:v>6.824495385272769</c:v>
                </c:pt>
                <c:pt idx="31">
                  <c:v>0.1660881122040081</c:v>
                </c:pt>
                <c:pt idx="32">
                  <c:v>-7.976889344895004</c:v>
                </c:pt>
                <c:pt idx="33">
                  <c:v>-15.745039815778672</c:v>
                </c:pt>
                <c:pt idx="34">
                  <c:v>-21.238548104844895</c:v>
                </c:pt>
                <c:pt idx="35">
                  <c:v>-23.182219830937644</c:v>
                </c:pt>
                <c:pt idx="36">
                  <c:v>-21.364428613011139</c:v>
                </c:pt>
                <c:pt idx="37">
                  <c:v>-16.682477406848459</c:v>
                </c:pt>
                <c:pt idx="38">
                  <c:v>-10.779191457890134</c:v>
                </c:pt>
                <c:pt idx="39">
                  <c:v>-5.4136319680127247</c:v>
                </c:pt>
                <c:pt idx="40">
                  <c:v>-1.810990359497012</c:v>
                </c:pt>
                <c:pt idx="41">
                  <c:v>-0.2431824677283565</c:v>
                </c:pt>
                <c:pt idx="42">
                  <c:v>1.2434497875801753E-14</c:v>
                </c:pt>
                <c:pt idx="43">
                  <c:v>0.24318246772833341</c:v>
                </c:pt>
                <c:pt idx="44">
                  <c:v>1.8109903594970058</c:v>
                </c:pt>
                <c:pt idx="45">
                  <c:v>5.4136319680127389</c:v>
                </c:pt>
                <c:pt idx="46">
                  <c:v>10.779191457890093</c:v>
                </c:pt>
                <c:pt idx="47">
                  <c:v>16.682477406848442</c:v>
                </c:pt>
                <c:pt idx="48">
                  <c:v>21.36442861301115</c:v>
                </c:pt>
                <c:pt idx="49">
                  <c:v>23.182219830937637</c:v>
                </c:pt>
                <c:pt idx="50">
                  <c:v>21.238548104844895</c:v>
                </c:pt>
                <c:pt idx="51">
                  <c:v>15.74503981577865</c:v>
                </c:pt>
                <c:pt idx="52">
                  <c:v>7.9768893448950289</c:v>
                </c:pt>
                <c:pt idx="53">
                  <c:v>-0.16608811220398234</c:v>
                </c:pt>
                <c:pt idx="54">
                  <c:v>-6.8244953852727512</c:v>
                </c:pt>
                <c:pt idx="55">
                  <c:v>-10.815859557832685</c:v>
                </c:pt>
                <c:pt idx="56">
                  <c:v>-12.000000000000004</c:v>
                </c:pt>
                <c:pt idx="57">
                  <c:v>-11.237063947448162</c:v>
                </c:pt>
                <c:pt idx="58">
                  <c:v>-9.9612226999390323</c:v>
                </c:pt>
                <c:pt idx="59">
                  <c:v>-9.5427737342811376</c:v>
                </c:pt>
                <c:pt idx="60">
                  <c:v>-10.693217924683072</c:v>
                </c:pt>
                <c:pt idx="61">
                  <c:v>-13.14985864900269</c:v>
                </c:pt>
                <c:pt idx="62">
                  <c:v>-15.765727727568683</c:v>
                </c:pt>
                <c:pt idx="63">
                  <c:v>-16.97056274847716</c:v>
                </c:pt>
                <c:pt idx="64">
                  <c:v>-15.421815783575923</c:v>
                </c:pt>
                <c:pt idx="65">
                  <c:v>-10.588731521275145</c:v>
                </c:pt>
                <c:pt idx="66">
                  <c:v>-3.0371861738228874</c:v>
                </c:pt>
                <c:pt idx="67">
                  <c:v>5.7013050168832295</c:v>
                </c:pt>
                <c:pt idx="68">
                  <c:v>13.631363102808812</c:v>
                </c:pt>
                <c:pt idx="69">
                  <c:v>18.976800749423987</c:v>
                </c:pt>
                <c:pt idx="70">
                  <c:v>20.784609690826549</c:v>
                </c:pt>
                <c:pt idx="71">
                  <c:v>19.219983217152357</c:v>
                </c:pt>
                <c:pt idx="72">
                  <c:v>15.44235346230581</c:v>
                </c:pt>
                <c:pt idx="73">
                  <c:v>11.114936984895969</c:v>
                </c:pt>
                <c:pt idx="74">
                  <c:v>7.7420052840672104</c:v>
                </c:pt>
                <c:pt idx="75">
                  <c:v>6.0937458855733206</c:v>
                </c:pt>
                <c:pt idx="76">
                  <c:v>5.9426128294352125</c:v>
                </c:pt>
                <c:pt idx="77">
                  <c:v>6.2116570824604924</c:v>
                </c:pt>
                <c:pt idx="78">
                  <c:v>5.4728203772762063</c:v>
                </c:pt>
                <c:pt idx="79">
                  <c:v>2.5951811667759541</c:v>
                </c:pt>
                <c:pt idx="80">
                  <c:v>-2.7163285797880423</c:v>
                </c:pt>
                <c:pt idx="81">
                  <c:v>-9.7088618464851102</c:v>
                </c:pt>
                <c:pt idx="82">
                  <c:v>-16.785718085211816</c:v>
                </c:pt>
                <c:pt idx="83">
                  <c:v>-22.05292350528083</c:v>
                </c:pt>
                <c:pt idx="84">
                  <c:v>-24</c:v>
                </c:pt>
                <c:pt idx="85">
                  <c:v>-22.052923505280837</c:v>
                </c:pt>
                <c:pt idx="86">
                  <c:v>-16.785718085211808</c:v>
                </c:pt>
                <c:pt idx="87">
                  <c:v>-9.708861846485112</c:v>
                </c:pt>
                <c:pt idx="88">
                  <c:v>-2.7163285797880841</c:v>
                </c:pt>
                <c:pt idx="89">
                  <c:v>2.5951811667759266</c:v>
                </c:pt>
                <c:pt idx="90">
                  <c:v>5.4728203772762249</c:v>
                </c:pt>
                <c:pt idx="91">
                  <c:v>6.2116570824604915</c:v>
                </c:pt>
                <c:pt idx="92">
                  <c:v>5.9426128294352614</c:v>
                </c:pt>
                <c:pt idx="93">
                  <c:v>6.0937458855733153</c:v>
                </c:pt>
                <c:pt idx="94">
                  <c:v>7.7420052840671945</c:v>
                </c:pt>
                <c:pt idx="95">
                  <c:v>11.114936984896023</c:v>
                </c:pt>
                <c:pt idx="96">
                  <c:v>15.442353462305832</c:v>
                </c:pt>
                <c:pt idx="97">
                  <c:v>19.219983217152322</c:v>
                </c:pt>
                <c:pt idx="98">
                  <c:v>20.784609690826521</c:v>
                </c:pt>
                <c:pt idx="99">
                  <c:v>18.976800749424008</c:v>
                </c:pt>
                <c:pt idx="100">
                  <c:v>13.631363102808823</c:v>
                </c:pt>
                <c:pt idx="101">
                  <c:v>5.7013050168832375</c:v>
                </c:pt>
                <c:pt idx="102">
                  <c:v>-3.0371861738229367</c:v>
                </c:pt>
                <c:pt idx="103">
                  <c:v>-10.588731521275058</c:v>
                </c:pt>
                <c:pt idx="104">
                  <c:v>-15.421815783575902</c:v>
                </c:pt>
                <c:pt idx="105">
                  <c:v>-16.970562748477125</c:v>
                </c:pt>
                <c:pt idx="106">
                  <c:v>-15.765727727568695</c:v>
                </c:pt>
                <c:pt idx="107">
                  <c:v>-13.149858649002672</c:v>
                </c:pt>
                <c:pt idx="108">
                  <c:v>-10.693217924683086</c:v>
                </c:pt>
                <c:pt idx="109">
                  <c:v>-9.5427737342811518</c:v>
                </c:pt>
                <c:pt idx="110">
                  <c:v>-9.9612226999389879</c:v>
                </c:pt>
                <c:pt idx="111">
                  <c:v>-11.237063947448179</c:v>
                </c:pt>
                <c:pt idx="112">
                  <c:v>-11.999999999999993</c:v>
                </c:pt>
                <c:pt idx="113">
                  <c:v>-10.815859557832702</c:v>
                </c:pt>
                <c:pt idx="114">
                  <c:v>-6.8244953852727566</c:v>
                </c:pt>
                <c:pt idx="115">
                  <c:v>-0.16608811220403297</c:v>
                </c:pt>
                <c:pt idx="116">
                  <c:v>7.9768893448950022</c:v>
                </c:pt>
                <c:pt idx="117">
                  <c:v>15.745039815778604</c:v>
                </c:pt>
                <c:pt idx="118">
                  <c:v>21.238548104844899</c:v>
                </c:pt>
                <c:pt idx="119">
                  <c:v>23.182219830937633</c:v>
                </c:pt>
                <c:pt idx="120">
                  <c:v>21.364428613011114</c:v>
                </c:pt>
                <c:pt idx="121">
                  <c:v>16.68247740684852</c:v>
                </c:pt>
                <c:pt idx="122">
                  <c:v>10.779191457890194</c:v>
                </c:pt>
                <c:pt idx="123">
                  <c:v>5.4136319680128162</c:v>
                </c:pt>
                <c:pt idx="124">
                  <c:v>1.8109903594970458</c:v>
                </c:pt>
                <c:pt idx="125">
                  <c:v>0.24318246772833785</c:v>
                </c:pt>
                <c:pt idx="126">
                  <c:v>5.6843418860808015E-14</c:v>
                </c:pt>
                <c:pt idx="127">
                  <c:v>-0.24318246772832985</c:v>
                </c:pt>
                <c:pt idx="128">
                  <c:v>-1.8109903594969783</c:v>
                </c:pt>
                <c:pt idx="129">
                  <c:v>-5.4136319680127203</c:v>
                </c:pt>
                <c:pt idx="130">
                  <c:v>-10.779191457890033</c:v>
                </c:pt>
                <c:pt idx="131">
                  <c:v>-16.682477406848456</c:v>
                </c:pt>
                <c:pt idx="132">
                  <c:v>-21.364428613011135</c:v>
                </c:pt>
                <c:pt idx="133">
                  <c:v>-23.182219830937626</c:v>
                </c:pt>
                <c:pt idx="134">
                  <c:v>-21.238548104844909</c:v>
                </c:pt>
                <c:pt idx="135">
                  <c:v>-15.745039815778696</c:v>
                </c:pt>
                <c:pt idx="136">
                  <c:v>-7.9768893448949569</c:v>
                </c:pt>
                <c:pt idx="137">
                  <c:v>0.16608811220407205</c:v>
                </c:pt>
                <c:pt idx="138">
                  <c:v>6.8244953852727201</c:v>
                </c:pt>
                <c:pt idx="139">
                  <c:v>10.815859557832688</c:v>
                </c:pt>
                <c:pt idx="140">
                  <c:v>12.000000000000068</c:v>
                </c:pt>
                <c:pt idx="141">
                  <c:v>11.23706394744816</c:v>
                </c:pt>
                <c:pt idx="142">
                  <c:v>9.9612226999390465</c:v>
                </c:pt>
                <c:pt idx="143">
                  <c:v>9.5427737342811305</c:v>
                </c:pt>
                <c:pt idx="144">
                  <c:v>10.693217924683054</c:v>
                </c:pt>
                <c:pt idx="145">
                  <c:v>13.149858649002784</c:v>
                </c:pt>
                <c:pt idx="146">
                  <c:v>15.765727727568718</c:v>
                </c:pt>
                <c:pt idx="147">
                  <c:v>16.970562748477079</c:v>
                </c:pt>
                <c:pt idx="148">
                  <c:v>15.421815783575928</c:v>
                </c:pt>
                <c:pt idx="149">
                  <c:v>10.588731521275179</c:v>
                </c:pt>
                <c:pt idx="150">
                  <c:v>3.0371861738228927</c:v>
                </c:pt>
                <c:pt idx="151">
                  <c:v>-5.7013050168832837</c:v>
                </c:pt>
                <c:pt idx="152">
                  <c:v>-13.631363102808653</c:v>
                </c:pt>
                <c:pt idx="153">
                  <c:v>-18.976800749423973</c:v>
                </c:pt>
                <c:pt idx="154">
                  <c:v>-20.784609690826535</c:v>
                </c:pt>
                <c:pt idx="155">
                  <c:v>-19.219983217152297</c:v>
                </c:pt>
                <c:pt idx="156">
                  <c:v>-15.442353462305753</c:v>
                </c:pt>
                <c:pt idx="157">
                  <c:v>-11.114936984896044</c:v>
                </c:pt>
                <c:pt idx="158">
                  <c:v>-7.7420052840672193</c:v>
                </c:pt>
                <c:pt idx="159">
                  <c:v>-6.0937458855733357</c:v>
                </c:pt>
                <c:pt idx="160">
                  <c:v>-5.9426128294352285</c:v>
                </c:pt>
                <c:pt idx="161">
                  <c:v>-6.2116570824604578</c:v>
                </c:pt>
                <c:pt idx="162">
                  <c:v>-5.4728203772762569</c:v>
                </c:pt>
                <c:pt idx="163">
                  <c:v>-2.5951811667759683</c:v>
                </c:pt>
                <c:pt idx="164">
                  <c:v>2.7163285797880645</c:v>
                </c:pt>
                <c:pt idx="165">
                  <c:v>9.708861846485199</c:v>
                </c:pt>
                <c:pt idx="166">
                  <c:v>16.785718085211752</c:v>
                </c:pt>
                <c:pt idx="167">
                  <c:v>22.052923505280784</c:v>
                </c:pt>
                <c:pt idx="168">
                  <c:v>24</c:v>
                </c:pt>
                <c:pt idx="169">
                  <c:v>22.052923505280834</c:v>
                </c:pt>
                <c:pt idx="170">
                  <c:v>16.785718085211776</c:v>
                </c:pt>
                <c:pt idx="171">
                  <c:v>9.7088618464850214</c:v>
                </c:pt>
                <c:pt idx="172">
                  <c:v>2.7163285797880903</c:v>
                </c:pt>
                <c:pt idx="173">
                  <c:v>-2.5951811667759133</c:v>
                </c:pt>
                <c:pt idx="174">
                  <c:v>-5.4728203772761725</c:v>
                </c:pt>
                <c:pt idx="175">
                  <c:v>-6.2116570824605741</c:v>
                </c:pt>
                <c:pt idx="176">
                  <c:v>-5.9426128294352321</c:v>
                </c:pt>
                <c:pt idx="177">
                  <c:v>-6.0937458855733251</c:v>
                </c:pt>
                <c:pt idx="178">
                  <c:v>-7.7420052840671865</c:v>
                </c:pt>
                <c:pt idx="179">
                  <c:v>-11.114936984895992</c:v>
                </c:pt>
                <c:pt idx="180">
                  <c:v>-15.442353462305793</c:v>
                </c:pt>
                <c:pt idx="181">
                  <c:v>-19.21998321715235</c:v>
                </c:pt>
                <c:pt idx="182">
                  <c:v>-20.784609690826535</c:v>
                </c:pt>
                <c:pt idx="183">
                  <c:v>-18.976800749424012</c:v>
                </c:pt>
                <c:pt idx="184">
                  <c:v>-13.631363102808809</c:v>
                </c:pt>
                <c:pt idx="185">
                  <c:v>-5.7013050168831825</c:v>
                </c:pt>
                <c:pt idx="186">
                  <c:v>3.0371861738227817</c:v>
                </c:pt>
                <c:pt idx="187">
                  <c:v>10.588731521275047</c:v>
                </c:pt>
                <c:pt idx="188">
                  <c:v>15.421815783575887</c:v>
                </c:pt>
                <c:pt idx="189">
                  <c:v>16.97056274847715</c:v>
                </c:pt>
                <c:pt idx="190">
                  <c:v>15.76572772756861</c:v>
                </c:pt>
                <c:pt idx="191">
                  <c:v>13.149858649002732</c:v>
                </c:pt>
                <c:pt idx="192">
                  <c:v>10.693217924683037</c:v>
                </c:pt>
                <c:pt idx="193">
                  <c:v>9.5427737342811376</c:v>
                </c:pt>
                <c:pt idx="194">
                  <c:v>9.9612226999389719</c:v>
                </c:pt>
                <c:pt idx="195">
                  <c:v>11.237063947448158</c:v>
                </c:pt>
                <c:pt idx="196">
                  <c:v>11.999999999999982</c:v>
                </c:pt>
                <c:pt idx="197">
                  <c:v>10.81585955783272</c:v>
                </c:pt>
                <c:pt idx="198">
                  <c:v>6.824495385272769</c:v>
                </c:pt>
                <c:pt idx="199">
                  <c:v>0.16608811220398056</c:v>
                </c:pt>
                <c:pt idx="200">
                  <c:v>-7.9768893448949463</c:v>
                </c:pt>
              </c:numCache>
            </c:numRef>
          </c:xVal>
          <c:yVal>
            <c:numRef>
              <c:f>Hoja1!$B$5:$GT$5</c:f>
              <c:numCache>
                <c:formatCode>General</c:formatCode>
                <c:ptCount val="201"/>
                <c:pt idx="0">
                  <c:v>0</c:v>
                </c:pt>
                <c:pt idx="1">
                  <c:v>8.5566650657573646</c:v>
                </c:pt>
                <c:pt idx="2">
                  <c:v>15.189009640502983</c:v>
                </c:pt>
                <c:pt idx="3">
                  <c:v>18.627998592329881</c:v>
                </c:pt>
                <c:pt idx="4">
                  <c:v>18.665672270780814</c:v>
                </c:pt>
                <c:pt idx="5">
                  <c:v>16.15900068697988</c:v>
                </c:pt>
                <c:pt idx="6">
                  <c:v>12.635571386988863</c:v>
                </c:pt>
                <c:pt idx="7">
                  <c:v>9.6592582628906829</c:v>
                </c:pt>
                <c:pt idx="8">
                  <c:v>8.2063156238260273</c:v>
                </c:pt>
                <c:pt idx="9">
                  <c:v>8.296590744563952</c:v>
                </c:pt>
                <c:pt idx="10">
                  <c:v>9.0231106551049685</c:v>
                </c:pt>
                <c:pt idx="11">
                  <c:v>8.9659356456897026</c:v>
                </c:pt>
                <c:pt idx="12">
                  <c:v>6.8244953852727681</c:v>
                </c:pt>
                <c:pt idx="13">
                  <c:v>2.0160120243469795</c:v>
                </c:pt>
                <c:pt idx="14">
                  <c:v>-5.0000000000000036</c:v>
                </c:pt>
                <c:pt idx="15">
                  <c:v>-12.804566612894465</c:v>
                </c:pt>
                <c:pt idx="16">
                  <c:v>-19.483641028731881</c:v>
                </c:pt>
                <c:pt idx="17">
                  <c:v>-23.29870435954718</c:v>
                </c:pt>
                <c:pt idx="18">
                  <c:v>-23.306782075316935</c:v>
                </c:pt>
                <c:pt idx="19">
                  <c:v>-19.691619444825612</c:v>
                </c:pt>
                <c:pt idx="20">
                  <c:v>-13.679136001102234</c:v>
                </c:pt>
                <c:pt idx="21">
                  <c:v>-7.0710678118654844</c:v>
                </c:pt>
                <c:pt idx="22">
                  <c:v>-1.5781842164241082</c:v>
                </c:pt>
                <c:pt idx="23">
                  <c:v>1.7888839877894203</c:v>
                </c:pt>
                <c:pt idx="24">
                  <c:v>3.0371861738228954</c:v>
                </c:pt>
                <c:pt idx="25">
                  <c:v>3.0985425166024436</c:v>
                </c:pt>
                <c:pt idx="26">
                  <c:v>3.368636897191216</c:v>
                </c:pt>
                <c:pt idx="27">
                  <c:v>5.0648298109186092</c:v>
                </c:pt>
                <c:pt idx="28">
                  <c:v>8.6602540378443926</c:v>
                </c:pt>
                <c:pt idx="29">
                  <c:v>13.621494876675968</c:v>
                </c:pt>
                <c:pt idx="30">
                  <c:v>18.557646537694207</c:v>
                </c:pt>
                <c:pt idx="31">
                  <c:v>21.726541108932334</c:v>
                </c:pt>
                <c:pt idx="32">
                  <c:v>21.702858444603727</c:v>
                </c:pt>
                <c:pt idx="33">
                  <c:v>17.947884674769291</c:v>
                </c:pt>
                <c:pt idx="34">
                  <c:v>11.057387170564748</c:v>
                </c:pt>
                <c:pt idx="35">
                  <c:v>2.5881904510252278</c:v>
                </c:pt>
                <c:pt idx="36">
                  <c:v>-5.4728203772761983</c:v>
                </c:pt>
                <c:pt idx="37">
                  <c:v>-11.395028700261632</c:v>
                </c:pt>
                <c:pt idx="38">
                  <c:v>-14.283671420211965</c:v>
                </c:pt>
                <c:pt idx="39">
                  <c:v>-14.332768713857472</c:v>
                </c:pt>
                <c:pt idx="40">
                  <c:v>-12.659145643459128</c:v>
                </c:pt>
                <c:pt idx="41">
                  <c:v>-10.788554588547473</c:v>
                </c:pt>
                <c:pt idx="42">
                  <c:v>-10</c:v>
                </c:pt>
                <c:pt idx="43">
                  <c:v>-10.788554588547482</c:v>
                </c:pt>
                <c:pt idx="44">
                  <c:v>-12.659145643459121</c:v>
                </c:pt>
                <c:pt idx="45">
                  <c:v>-14.332768713857472</c:v>
                </c:pt>
                <c:pt idx="46">
                  <c:v>-14.283671420211956</c:v>
                </c:pt>
                <c:pt idx="47">
                  <c:v>-11.395028700261646</c:v>
                </c:pt>
                <c:pt idx="48">
                  <c:v>-5.4728203772762063</c:v>
                </c:pt>
                <c:pt idx="49">
                  <c:v>2.5881904510251768</c:v>
                </c:pt>
                <c:pt idx="50">
                  <c:v>11.057387170564745</c:v>
                </c:pt>
                <c:pt idx="51">
                  <c:v>17.947884674769305</c:v>
                </c:pt>
                <c:pt idx="52">
                  <c:v>21.70285844460372</c:v>
                </c:pt>
                <c:pt idx="53">
                  <c:v>21.726541108932338</c:v>
                </c:pt>
                <c:pt idx="54">
                  <c:v>18.557646537694222</c:v>
                </c:pt>
                <c:pt idx="55">
                  <c:v>13.621494876676007</c:v>
                </c:pt>
                <c:pt idx="56">
                  <c:v>8.6602540378443784</c:v>
                </c:pt>
                <c:pt idx="57">
                  <c:v>5.0648298109186074</c:v>
                </c:pt>
                <c:pt idx="58">
                  <c:v>3.3686368971912062</c:v>
                </c:pt>
                <c:pt idx="59">
                  <c:v>3.09854251660248</c:v>
                </c:pt>
                <c:pt idx="60">
                  <c:v>3.0371861738229304</c:v>
                </c:pt>
                <c:pt idx="61">
                  <c:v>1.7888839877894096</c:v>
                </c:pt>
                <c:pt idx="62">
                  <c:v>-1.5781842164240816</c:v>
                </c:pt>
                <c:pt idx="63">
                  <c:v>-7.0710678118655013</c:v>
                </c:pt>
                <c:pt idx="64">
                  <c:v>-13.679136001102192</c:v>
                </c:pt>
                <c:pt idx="65">
                  <c:v>-19.691619444825562</c:v>
                </c:pt>
                <c:pt idx="66">
                  <c:v>-23.306782075316935</c:v>
                </c:pt>
                <c:pt idx="67">
                  <c:v>-23.298704359547184</c:v>
                </c:pt>
                <c:pt idx="68">
                  <c:v>-19.483641028731867</c:v>
                </c:pt>
                <c:pt idx="69">
                  <c:v>-12.804566612894464</c:v>
                </c:pt>
                <c:pt idx="70">
                  <c:v>-5.0000000000000373</c:v>
                </c:pt>
                <c:pt idx="71">
                  <c:v>2.0160120243470017</c:v>
                </c:pt>
                <c:pt idx="72">
                  <c:v>6.8244953852727548</c:v>
                </c:pt>
                <c:pt idx="73">
                  <c:v>8.9659356456896937</c:v>
                </c:pt>
                <c:pt idx="74">
                  <c:v>9.0231106551049844</c:v>
                </c:pt>
                <c:pt idx="75">
                  <c:v>8.2965907445639484</c:v>
                </c:pt>
                <c:pt idx="76">
                  <c:v>8.2063156238260309</c:v>
                </c:pt>
                <c:pt idx="77">
                  <c:v>9.6592582628906776</c:v>
                </c:pt>
                <c:pt idx="78">
                  <c:v>12.635571386988882</c:v>
                </c:pt>
                <c:pt idx="79">
                  <c:v>16.159000686979848</c:v>
                </c:pt>
                <c:pt idx="80">
                  <c:v>18.66567227078081</c:v>
                </c:pt>
                <c:pt idx="81">
                  <c:v>18.627998592329899</c:v>
                </c:pt>
                <c:pt idx="82">
                  <c:v>15.189009640502981</c:v>
                </c:pt>
                <c:pt idx="83">
                  <c:v>8.5566650657573682</c:v>
                </c:pt>
                <c:pt idx="84">
                  <c:v>5.4027528978428663E-14</c:v>
                </c:pt>
                <c:pt idx="85">
                  <c:v>-8.5566650657573753</c:v>
                </c:pt>
                <c:pt idx="86">
                  <c:v>-15.18900964050296</c:v>
                </c:pt>
                <c:pt idx="87">
                  <c:v>-18.627998592329874</c:v>
                </c:pt>
                <c:pt idx="88">
                  <c:v>-18.665672270780821</c:v>
                </c:pt>
                <c:pt idx="89">
                  <c:v>-16.159000686979869</c:v>
                </c:pt>
                <c:pt idx="90">
                  <c:v>-12.635571386988868</c:v>
                </c:pt>
                <c:pt idx="91">
                  <c:v>-9.6592582628906936</c:v>
                </c:pt>
                <c:pt idx="92">
                  <c:v>-8.2063156238260166</c:v>
                </c:pt>
                <c:pt idx="93">
                  <c:v>-8.2965907445639449</c:v>
                </c:pt>
                <c:pt idx="94">
                  <c:v>-9.0231106551049791</c:v>
                </c:pt>
                <c:pt idx="95">
                  <c:v>-8.965935645689715</c:v>
                </c:pt>
                <c:pt idx="96">
                  <c:v>-6.8244953852727894</c:v>
                </c:pt>
                <c:pt idx="97">
                  <c:v>-2.016012024346983</c:v>
                </c:pt>
                <c:pt idx="98">
                  <c:v>4.999999999999944</c:v>
                </c:pt>
                <c:pt idx="99">
                  <c:v>12.804566612894464</c:v>
                </c:pt>
                <c:pt idx="100">
                  <c:v>19.483641028731867</c:v>
                </c:pt>
                <c:pt idx="101">
                  <c:v>23.29870435954718</c:v>
                </c:pt>
                <c:pt idx="102">
                  <c:v>23.306782075316924</c:v>
                </c:pt>
                <c:pt idx="103">
                  <c:v>19.691619444825683</c:v>
                </c:pt>
                <c:pt idx="104">
                  <c:v>13.679136001102236</c:v>
                </c:pt>
                <c:pt idx="105">
                  <c:v>7.0710678118655075</c:v>
                </c:pt>
                <c:pt idx="106">
                  <c:v>1.5781842164241109</c:v>
                </c:pt>
                <c:pt idx="107">
                  <c:v>-1.7888839877894007</c:v>
                </c:pt>
                <c:pt idx="108">
                  <c:v>-3.0371861738229273</c:v>
                </c:pt>
                <c:pt idx="109">
                  <c:v>-3.0985425166024125</c:v>
                </c:pt>
                <c:pt idx="110">
                  <c:v>-3.3686368971912355</c:v>
                </c:pt>
                <c:pt idx="111">
                  <c:v>-5.0648298109186047</c:v>
                </c:pt>
                <c:pt idx="112">
                  <c:v>-8.6602540378444033</c:v>
                </c:pt>
                <c:pt idx="113">
                  <c:v>-13.621494876675973</c:v>
                </c:pt>
                <c:pt idx="114">
                  <c:v>-18.557646537694193</c:v>
                </c:pt>
                <c:pt idx="115">
                  <c:v>-21.726541108932327</c:v>
                </c:pt>
                <c:pt idx="116">
                  <c:v>-21.702858444603716</c:v>
                </c:pt>
                <c:pt idx="117">
                  <c:v>-17.947884674769345</c:v>
                </c:pt>
                <c:pt idx="118">
                  <c:v>-11.057387170564727</c:v>
                </c:pt>
                <c:pt idx="119">
                  <c:v>-2.588190451025155</c:v>
                </c:pt>
                <c:pt idx="120">
                  <c:v>5.4728203772762063</c:v>
                </c:pt>
                <c:pt idx="121">
                  <c:v>11.395028700261644</c:v>
                </c:pt>
                <c:pt idx="122">
                  <c:v>14.283671420211988</c:v>
                </c:pt>
                <c:pt idx="123">
                  <c:v>14.332768713857527</c:v>
                </c:pt>
                <c:pt idx="124">
                  <c:v>12.659145643459119</c:v>
                </c:pt>
                <c:pt idx="125">
                  <c:v>10.788554588547493</c:v>
                </c:pt>
                <c:pt idx="126">
                  <c:v>10</c:v>
                </c:pt>
                <c:pt idx="127">
                  <c:v>10.788554588547505</c:v>
                </c:pt>
                <c:pt idx="128">
                  <c:v>12.659145643459107</c:v>
                </c:pt>
                <c:pt idx="129">
                  <c:v>14.332768713857536</c:v>
                </c:pt>
                <c:pt idx="130">
                  <c:v>14.283671420211931</c:v>
                </c:pt>
                <c:pt idx="131">
                  <c:v>11.39502870026163</c:v>
                </c:pt>
                <c:pt idx="132">
                  <c:v>5.4728203772761699</c:v>
                </c:pt>
                <c:pt idx="133">
                  <c:v>-2.5881904510250466</c:v>
                </c:pt>
                <c:pt idx="134">
                  <c:v>-11.05738717056472</c:v>
                </c:pt>
                <c:pt idx="135">
                  <c:v>-17.947884674769277</c:v>
                </c:pt>
                <c:pt idx="136">
                  <c:v>-21.70285844460372</c:v>
                </c:pt>
                <c:pt idx="137">
                  <c:v>-21.726541108932309</c:v>
                </c:pt>
                <c:pt idx="138">
                  <c:v>-18.557646537694165</c:v>
                </c:pt>
                <c:pt idx="139">
                  <c:v>-13.621494876676046</c:v>
                </c:pt>
                <c:pt idx="140">
                  <c:v>-8.6602540378444317</c:v>
                </c:pt>
                <c:pt idx="141">
                  <c:v>-5.0648298109185959</c:v>
                </c:pt>
                <c:pt idx="142">
                  <c:v>-3.3686368971911742</c:v>
                </c:pt>
                <c:pt idx="143">
                  <c:v>-3.0985425166024854</c:v>
                </c:pt>
                <c:pt idx="144">
                  <c:v>-3.0371861738229091</c:v>
                </c:pt>
                <c:pt idx="145">
                  <c:v>-1.788883987789446</c:v>
                </c:pt>
                <c:pt idx="146">
                  <c:v>1.5781842164241295</c:v>
                </c:pt>
                <c:pt idx="147">
                  <c:v>7.0710678118653139</c:v>
                </c:pt>
                <c:pt idx="148">
                  <c:v>13.679136001102146</c:v>
                </c:pt>
                <c:pt idx="149">
                  <c:v>19.691619444825523</c:v>
                </c:pt>
                <c:pt idx="150">
                  <c:v>23.306782075316939</c:v>
                </c:pt>
                <c:pt idx="151">
                  <c:v>23.29870435954717</c:v>
                </c:pt>
                <c:pt idx="152">
                  <c:v>19.483641028732006</c:v>
                </c:pt>
                <c:pt idx="153">
                  <c:v>12.804566612894513</c:v>
                </c:pt>
                <c:pt idx="154">
                  <c:v>5.0000000000000409</c:v>
                </c:pt>
                <c:pt idx="155">
                  <c:v>-2.0160120243470123</c:v>
                </c:pt>
                <c:pt idx="156">
                  <c:v>-6.8244953852727885</c:v>
                </c:pt>
                <c:pt idx="157">
                  <c:v>-8.9659356456896866</c:v>
                </c:pt>
                <c:pt idx="158">
                  <c:v>-9.0231106551050111</c:v>
                </c:pt>
                <c:pt idx="159">
                  <c:v>-8.2965907445639289</c:v>
                </c:pt>
                <c:pt idx="160">
                  <c:v>-8.2063156238260326</c:v>
                </c:pt>
                <c:pt idx="161">
                  <c:v>-9.6592582628906918</c:v>
                </c:pt>
                <c:pt idx="162">
                  <c:v>-12.635571386988854</c:v>
                </c:pt>
                <c:pt idx="163">
                  <c:v>-16.159000686979862</c:v>
                </c:pt>
                <c:pt idx="164">
                  <c:v>-18.665672270780867</c:v>
                </c:pt>
                <c:pt idx="165">
                  <c:v>-18.627998592329885</c:v>
                </c:pt>
                <c:pt idx="166">
                  <c:v>-15.189009640502967</c:v>
                </c:pt>
                <c:pt idx="167">
                  <c:v>-8.5566650657574712</c:v>
                </c:pt>
                <c:pt idx="168">
                  <c:v>-1.0805505795685733E-13</c:v>
                </c:pt>
                <c:pt idx="169">
                  <c:v>8.5566650657573682</c:v>
                </c:pt>
                <c:pt idx="170">
                  <c:v>15.189009640503004</c:v>
                </c:pt>
                <c:pt idx="171">
                  <c:v>18.627998592329885</c:v>
                </c:pt>
                <c:pt idx="172">
                  <c:v>18.665672270780803</c:v>
                </c:pt>
                <c:pt idx="173">
                  <c:v>16.159000686979905</c:v>
                </c:pt>
                <c:pt idx="174">
                  <c:v>12.63557138698882</c:v>
                </c:pt>
                <c:pt idx="175">
                  <c:v>9.6592582628906882</c:v>
                </c:pt>
                <c:pt idx="176">
                  <c:v>8.2063156238260397</c:v>
                </c:pt>
                <c:pt idx="177">
                  <c:v>8.2965907445639218</c:v>
                </c:pt>
                <c:pt idx="178">
                  <c:v>9.023110655105004</c:v>
                </c:pt>
                <c:pt idx="179">
                  <c:v>8.9659356456897008</c:v>
                </c:pt>
                <c:pt idx="180">
                  <c:v>6.8244953852727344</c:v>
                </c:pt>
                <c:pt idx="181">
                  <c:v>2.0160120243470514</c:v>
                </c:pt>
                <c:pt idx="182">
                  <c:v>-4.9999999999999405</c:v>
                </c:pt>
                <c:pt idx="183">
                  <c:v>-12.804566612894511</c:v>
                </c:pt>
                <c:pt idx="184">
                  <c:v>-19.483641028731864</c:v>
                </c:pt>
                <c:pt idx="185">
                  <c:v>-23.298704359547195</c:v>
                </c:pt>
                <c:pt idx="186">
                  <c:v>-23.306782075316963</c:v>
                </c:pt>
                <c:pt idx="187">
                  <c:v>-19.691619444825676</c:v>
                </c:pt>
                <c:pt idx="188">
                  <c:v>-13.679136001102234</c:v>
                </c:pt>
                <c:pt idx="189">
                  <c:v>-7.0710678118654666</c:v>
                </c:pt>
                <c:pt idx="190">
                  <c:v>-1.5781842164240549</c:v>
                </c:pt>
                <c:pt idx="191">
                  <c:v>1.7888839877893696</c:v>
                </c:pt>
                <c:pt idx="192">
                  <c:v>3.0371861738228141</c:v>
                </c:pt>
                <c:pt idx="193">
                  <c:v>3.0985425166024854</c:v>
                </c:pt>
                <c:pt idx="194">
                  <c:v>3.3686368971912675</c:v>
                </c:pt>
                <c:pt idx="195">
                  <c:v>5.0648298109186349</c:v>
                </c:pt>
                <c:pt idx="196">
                  <c:v>8.6602540378443216</c:v>
                </c:pt>
                <c:pt idx="197">
                  <c:v>13.621494876675978</c:v>
                </c:pt>
                <c:pt idx="198">
                  <c:v>18.557646537694204</c:v>
                </c:pt>
                <c:pt idx="199">
                  <c:v>21.726541108932324</c:v>
                </c:pt>
                <c:pt idx="200">
                  <c:v>21.702858444603756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962-4D34-84BB-186A6FADD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391600"/>
        <c:axId val="255990600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Hoja1!$B$21:$V$21</c:f>
              <c:numCache>
                <c:formatCode>General</c:formatCode>
                <c:ptCount val="21"/>
                <c:pt idx="0">
                  <c:v>-14.573776895454543</c:v>
                </c:pt>
                <c:pt idx="1">
                  <c:v>-15.469027991753643</c:v>
                </c:pt>
                <c:pt idx="2">
                  <c:v>-14.911748497647</c:v>
                </c:pt>
                <c:pt idx="3">
                  <c:v>-14.573776895454543</c:v>
                </c:pt>
                <c:pt idx="4">
                  <c:v>-15.519598560342832</c:v>
                </c:pt>
                <c:pt idx="5">
                  <c:v>-16.760139508603061</c:v>
                </c:pt>
                <c:pt idx="6">
                  <c:v>-13.828857845555575</c:v>
                </c:pt>
                <c:pt idx="7">
                  <c:v>-14.481333667412276</c:v>
                </c:pt>
                <c:pt idx="8">
                  <c:v>-13.856562975391887</c:v>
                </c:pt>
                <c:pt idx="9">
                  <c:v>-14.028569011048395</c:v>
                </c:pt>
                <c:pt idx="10">
                  <c:v>-14.759237309692528</c:v>
                </c:pt>
                <c:pt idx="11">
                  <c:v>-14.573776895454543</c:v>
                </c:pt>
                <c:pt idx="12">
                  <c:v>-15.382727111551263</c:v>
                </c:pt>
                <c:pt idx="13">
                  <c:v>-14.173156895945317</c:v>
                </c:pt>
                <c:pt idx="14">
                  <c:v>-15.946337163368735</c:v>
                </c:pt>
                <c:pt idx="15">
                  <c:v>-15.296426231348885</c:v>
                </c:pt>
                <c:pt idx="16">
                  <c:v>-15.382727111551263</c:v>
                </c:pt>
                <c:pt idx="17">
                  <c:v>-13.828857845555575</c:v>
                </c:pt>
                <c:pt idx="18">
                  <c:v>-15.259609458472067</c:v>
                </c:pt>
                <c:pt idx="19">
                  <c:v>-15.176277873470305</c:v>
                </c:pt>
                <c:pt idx="20">
                  <c:v>-14.864634851260265</c:v>
                </c:pt>
              </c:numCache>
            </c:numRef>
          </c:xVal>
          <c:yVal>
            <c:numRef>
              <c:f>Hoja1!$B$22:$V$22</c:f>
              <c:numCache>
                <c:formatCode>General</c:formatCode>
                <c:ptCount val="21"/>
                <c:pt idx="0">
                  <c:v>-13.469839496358421</c:v>
                </c:pt>
                <c:pt idx="1">
                  <c:v>-14.239596259612412</c:v>
                </c:pt>
                <c:pt idx="2">
                  <c:v>-14.07006878264114</c:v>
                </c:pt>
                <c:pt idx="3">
                  <c:v>-13.469839496358421</c:v>
                </c:pt>
                <c:pt idx="4">
                  <c:v>-13.853924614825598</c:v>
                </c:pt>
                <c:pt idx="5">
                  <c:v>-13.516940704690985</c:v>
                </c:pt>
                <c:pt idx="6">
                  <c:v>-13.449949571833246</c:v>
                </c:pt>
                <c:pt idx="7">
                  <c:v>-10.627331053171467</c:v>
                </c:pt>
                <c:pt idx="8">
                  <c:v>-11.688350177594945</c:v>
                </c:pt>
                <c:pt idx="9">
                  <c:v>-12.561627867506768</c:v>
                </c:pt>
                <c:pt idx="10">
                  <c:v>-12.707996707621351</c:v>
                </c:pt>
                <c:pt idx="11">
                  <c:v>-13.469839496358421</c:v>
                </c:pt>
                <c:pt idx="12">
                  <c:v>-13.48982819008938</c:v>
                </c:pt>
                <c:pt idx="13">
                  <c:v>-11.973075114101405</c:v>
                </c:pt>
                <c:pt idx="14">
                  <c:v>-12.592697369366835</c:v>
                </c:pt>
                <c:pt idx="15">
                  <c:v>-12.740060120566348</c:v>
                </c:pt>
                <c:pt idx="16">
                  <c:v>-13.48982819008938</c:v>
                </c:pt>
                <c:pt idx="17">
                  <c:v>-13.449949571833246</c:v>
                </c:pt>
                <c:pt idx="18">
                  <c:v>-12.308963234431761</c:v>
                </c:pt>
                <c:pt idx="19">
                  <c:v>-11.659151071617694</c:v>
                </c:pt>
                <c:pt idx="20">
                  <c:v>-12.214649610506676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962-4D34-84BB-186A6FADD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391600"/>
        <c:axId val="255990600"/>
      </c:scatterChart>
      <c:valAx>
        <c:axId val="25439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5990600"/>
        <c:crosses val="autoZero"/>
        <c:crossBetween val="midCat"/>
      </c:valAx>
      <c:valAx>
        <c:axId val="25599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439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22</xdr:col>
      <xdr:colOff>15551</xdr:colOff>
      <xdr:row>52</xdr:row>
      <xdr:rowOff>81936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4D6A58F5-7ED5-4FD3-8482-616D706DC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L46"/>
  <sheetViews>
    <sheetView tabSelected="1" topLeftCell="A37" zoomScale="102" zoomScaleNormal="70" workbookViewId="0">
      <selection activeCell="P16" sqref="P16"/>
    </sheetView>
  </sheetViews>
  <sheetFormatPr baseColWidth="10" defaultRowHeight="15" x14ac:dyDescent="0.25"/>
  <cols>
    <col min="1" max="26" width="5.7109375" customWidth="1"/>
  </cols>
  <sheetData>
    <row r="1" spans="1:2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20" x14ac:dyDescent="0.25">
      <c r="A2" s="1" t="s">
        <v>0</v>
      </c>
      <c r="B2" s="1">
        <v>0</v>
      </c>
      <c r="C2" s="1">
        <f>B2+15</f>
        <v>15</v>
      </c>
      <c r="D2" s="1">
        <f t="shared" ref="D2:Z2" si="0">C2+15</f>
        <v>30</v>
      </c>
      <c r="E2" s="1">
        <f t="shared" si="0"/>
        <v>45</v>
      </c>
      <c r="F2" s="1">
        <f>E2+15</f>
        <v>60</v>
      </c>
      <c r="G2" s="1">
        <f t="shared" si="0"/>
        <v>75</v>
      </c>
      <c r="H2" s="1">
        <f t="shared" si="0"/>
        <v>90</v>
      </c>
      <c r="I2" s="1">
        <f t="shared" si="0"/>
        <v>105</v>
      </c>
      <c r="J2" s="1">
        <f t="shared" si="0"/>
        <v>120</v>
      </c>
      <c r="K2" s="1">
        <f t="shared" si="0"/>
        <v>135</v>
      </c>
      <c r="L2" s="1">
        <f t="shared" si="0"/>
        <v>150</v>
      </c>
      <c r="M2" s="1">
        <f t="shared" si="0"/>
        <v>165</v>
      </c>
      <c r="N2" s="1">
        <f t="shared" si="0"/>
        <v>180</v>
      </c>
      <c r="O2" s="1">
        <f t="shared" si="0"/>
        <v>195</v>
      </c>
      <c r="P2" s="1">
        <f t="shared" si="0"/>
        <v>210</v>
      </c>
      <c r="Q2" s="1">
        <f t="shared" si="0"/>
        <v>225</v>
      </c>
      <c r="R2" s="1">
        <f t="shared" si="0"/>
        <v>240</v>
      </c>
      <c r="S2" s="1">
        <f t="shared" si="0"/>
        <v>255</v>
      </c>
      <c r="T2" s="1">
        <f t="shared" si="0"/>
        <v>270</v>
      </c>
      <c r="U2" s="1">
        <f t="shared" si="0"/>
        <v>285</v>
      </c>
      <c r="V2" s="1">
        <f t="shared" si="0"/>
        <v>300</v>
      </c>
      <c r="W2" s="1">
        <f t="shared" si="0"/>
        <v>315</v>
      </c>
      <c r="X2" s="1">
        <f t="shared" si="0"/>
        <v>330</v>
      </c>
      <c r="Y2" s="1">
        <f t="shared" si="0"/>
        <v>345</v>
      </c>
      <c r="Z2" s="1">
        <f t="shared" si="0"/>
        <v>360</v>
      </c>
      <c r="AA2" s="1">
        <f t="shared" ref="AA2" si="1">Z2+15</f>
        <v>375</v>
      </c>
      <c r="AB2" s="1">
        <f t="shared" ref="AB2" si="2">AA2+15</f>
        <v>390</v>
      </c>
      <c r="AC2" s="1">
        <f t="shared" ref="AC2" si="3">AB2+15</f>
        <v>405</v>
      </c>
      <c r="AD2" s="1">
        <f t="shared" ref="AD2" si="4">AC2+15</f>
        <v>420</v>
      </c>
      <c r="AE2" s="1">
        <f t="shared" ref="AE2" si="5">AD2+15</f>
        <v>435</v>
      </c>
      <c r="AF2" s="1">
        <f t="shared" ref="AF2" si="6">AE2+15</f>
        <v>450</v>
      </c>
      <c r="AG2" s="1">
        <f t="shared" ref="AG2" si="7">AF2+15</f>
        <v>465</v>
      </c>
      <c r="AH2" s="1">
        <f t="shared" ref="AH2" si="8">AG2+15</f>
        <v>480</v>
      </c>
      <c r="AI2" s="1">
        <f t="shared" ref="AI2" si="9">AH2+15</f>
        <v>495</v>
      </c>
      <c r="AJ2" s="1">
        <f t="shared" ref="AJ2" si="10">AI2+15</f>
        <v>510</v>
      </c>
      <c r="AK2" s="1">
        <f t="shared" ref="AK2" si="11">AJ2+15</f>
        <v>525</v>
      </c>
      <c r="AL2" s="1">
        <f t="shared" ref="AL2" si="12">AK2+15</f>
        <v>540</v>
      </c>
      <c r="AM2" s="1">
        <f t="shared" ref="AM2" si="13">AL2+15</f>
        <v>555</v>
      </c>
      <c r="AN2" s="1">
        <f t="shared" ref="AN2" si="14">AM2+15</f>
        <v>570</v>
      </c>
      <c r="AO2" s="1">
        <f t="shared" ref="AO2" si="15">AN2+15</f>
        <v>585</v>
      </c>
      <c r="AP2" s="1">
        <f t="shared" ref="AP2" si="16">AO2+15</f>
        <v>600</v>
      </c>
      <c r="AQ2" s="1">
        <f t="shared" ref="AQ2" si="17">AP2+15</f>
        <v>615</v>
      </c>
      <c r="AR2" s="1">
        <f t="shared" ref="AR2" si="18">AQ2+15</f>
        <v>630</v>
      </c>
      <c r="AS2" s="1">
        <f t="shared" ref="AS2" si="19">AR2+15</f>
        <v>645</v>
      </c>
      <c r="AT2" s="1">
        <f t="shared" ref="AT2" si="20">AS2+15</f>
        <v>660</v>
      </c>
      <c r="AU2" s="1">
        <f t="shared" ref="AU2" si="21">AT2+15</f>
        <v>675</v>
      </c>
      <c r="AV2" s="1">
        <f t="shared" ref="AV2" si="22">AU2+15</f>
        <v>690</v>
      </c>
      <c r="AW2" s="1">
        <f t="shared" ref="AW2" si="23">AV2+15</f>
        <v>705</v>
      </c>
      <c r="AX2" s="1">
        <f t="shared" ref="AX2" si="24">AW2+15</f>
        <v>720</v>
      </c>
      <c r="AY2" s="1">
        <f t="shared" ref="AY2" si="25">AX2+15</f>
        <v>735</v>
      </c>
      <c r="AZ2" s="1">
        <f t="shared" ref="AZ2" si="26">AY2+15</f>
        <v>750</v>
      </c>
      <c r="BA2" s="1">
        <f t="shared" ref="BA2" si="27">AZ2+15</f>
        <v>765</v>
      </c>
      <c r="BB2" s="1">
        <f t="shared" ref="BB2" si="28">BA2+15</f>
        <v>780</v>
      </c>
      <c r="BC2" s="1">
        <f t="shared" ref="BC2" si="29">BB2+15</f>
        <v>795</v>
      </c>
      <c r="BD2" s="1">
        <f t="shared" ref="BD2" si="30">BC2+15</f>
        <v>810</v>
      </c>
      <c r="BE2" s="1">
        <f t="shared" ref="BE2" si="31">BD2+15</f>
        <v>825</v>
      </c>
      <c r="BF2" s="1">
        <f t="shared" ref="BF2" si="32">BE2+15</f>
        <v>840</v>
      </c>
      <c r="BG2" s="1">
        <f t="shared" ref="BG2" si="33">BF2+15</f>
        <v>855</v>
      </c>
      <c r="BH2" s="1">
        <f t="shared" ref="BH2" si="34">BG2+15</f>
        <v>870</v>
      </c>
      <c r="BI2" s="1">
        <f t="shared" ref="BI2" si="35">BH2+15</f>
        <v>885</v>
      </c>
      <c r="BJ2" s="1">
        <f t="shared" ref="BJ2" si="36">BI2+15</f>
        <v>900</v>
      </c>
      <c r="BK2" s="1">
        <f t="shared" ref="BK2" si="37">BJ2+15</f>
        <v>915</v>
      </c>
      <c r="BL2" s="1">
        <f t="shared" ref="BL2" si="38">BK2+15</f>
        <v>930</v>
      </c>
      <c r="BM2" s="1">
        <f t="shared" ref="BM2" si="39">BL2+15</f>
        <v>945</v>
      </c>
      <c r="BN2" s="1">
        <f t="shared" ref="BN2" si="40">BM2+15</f>
        <v>960</v>
      </c>
      <c r="BO2" s="1">
        <f t="shared" ref="BO2" si="41">BN2+15</f>
        <v>975</v>
      </c>
      <c r="BP2" s="1">
        <f t="shared" ref="BP2" si="42">BO2+15</f>
        <v>990</v>
      </c>
      <c r="BQ2" s="1">
        <f t="shared" ref="BQ2" si="43">BP2+15</f>
        <v>1005</v>
      </c>
      <c r="BR2" s="1">
        <f t="shared" ref="BR2" si="44">BQ2+15</f>
        <v>1020</v>
      </c>
      <c r="BS2" s="1">
        <f t="shared" ref="BS2" si="45">BR2+15</f>
        <v>1035</v>
      </c>
      <c r="BT2" s="1">
        <f t="shared" ref="BT2" si="46">BS2+15</f>
        <v>1050</v>
      </c>
      <c r="BU2" s="1">
        <f t="shared" ref="BU2" si="47">BT2+15</f>
        <v>1065</v>
      </c>
      <c r="BV2" s="1">
        <f t="shared" ref="BV2" si="48">BU2+15</f>
        <v>1080</v>
      </c>
      <c r="BW2" s="1">
        <f t="shared" ref="BW2" si="49">BV2+15</f>
        <v>1095</v>
      </c>
      <c r="BX2" s="1">
        <f t="shared" ref="BX2" si="50">BW2+15</f>
        <v>1110</v>
      </c>
      <c r="BY2" s="1">
        <f t="shared" ref="BY2" si="51">BX2+15</f>
        <v>1125</v>
      </c>
      <c r="BZ2" s="1">
        <f t="shared" ref="BZ2" si="52">BY2+15</f>
        <v>1140</v>
      </c>
      <c r="CA2" s="1">
        <f t="shared" ref="CA2" si="53">BZ2+15</f>
        <v>1155</v>
      </c>
      <c r="CB2" s="1">
        <f t="shared" ref="CB2" si="54">CA2+15</f>
        <v>1170</v>
      </c>
      <c r="CC2" s="1">
        <f t="shared" ref="CC2" si="55">CB2+15</f>
        <v>1185</v>
      </c>
      <c r="CD2" s="1">
        <f t="shared" ref="CD2" si="56">CC2+15</f>
        <v>1200</v>
      </c>
      <c r="CE2" s="1">
        <f t="shared" ref="CE2" si="57">CD2+15</f>
        <v>1215</v>
      </c>
      <c r="CF2" s="1">
        <f t="shared" ref="CF2" si="58">CE2+15</f>
        <v>1230</v>
      </c>
      <c r="CG2" s="1">
        <f t="shared" ref="CG2" si="59">CF2+15</f>
        <v>1245</v>
      </c>
      <c r="CH2" s="1">
        <f t="shared" ref="CH2" si="60">CG2+15</f>
        <v>1260</v>
      </c>
      <c r="CI2" s="1">
        <f t="shared" ref="CI2" si="61">CH2+15</f>
        <v>1275</v>
      </c>
      <c r="CJ2" s="1">
        <f t="shared" ref="CJ2" si="62">CI2+15</f>
        <v>1290</v>
      </c>
      <c r="CK2" s="1">
        <f t="shared" ref="CK2" si="63">CJ2+15</f>
        <v>1305</v>
      </c>
      <c r="CL2" s="1">
        <f t="shared" ref="CL2" si="64">CK2+15</f>
        <v>1320</v>
      </c>
      <c r="CM2" s="1">
        <f t="shared" ref="CM2" si="65">CL2+15</f>
        <v>1335</v>
      </c>
      <c r="CN2" s="1">
        <f t="shared" ref="CN2" si="66">CM2+15</f>
        <v>1350</v>
      </c>
      <c r="CO2" s="1">
        <f t="shared" ref="CO2" si="67">CN2+15</f>
        <v>1365</v>
      </c>
      <c r="CP2" s="1">
        <f t="shared" ref="CP2" si="68">CO2+15</f>
        <v>1380</v>
      </c>
      <c r="CQ2" s="1">
        <f t="shared" ref="CQ2" si="69">CP2+15</f>
        <v>1395</v>
      </c>
      <c r="CR2" s="1">
        <f t="shared" ref="CR2" si="70">CQ2+15</f>
        <v>1410</v>
      </c>
      <c r="CS2" s="1">
        <f t="shared" ref="CS2" si="71">CR2+15</f>
        <v>1425</v>
      </c>
      <c r="CT2" s="1">
        <f t="shared" ref="CT2" si="72">CS2+15</f>
        <v>1440</v>
      </c>
      <c r="CU2" s="1">
        <f t="shared" ref="CU2" si="73">CT2+15</f>
        <v>1455</v>
      </c>
      <c r="CV2" s="1">
        <f t="shared" ref="CV2" si="74">CU2+15</f>
        <v>1470</v>
      </c>
      <c r="CW2" s="1">
        <f t="shared" ref="CW2" si="75">CV2+15</f>
        <v>1485</v>
      </c>
      <c r="CX2" s="1">
        <f t="shared" ref="CX2" si="76">CW2+15</f>
        <v>1500</v>
      </c>
      <c r="CY2" s="1">
        <f t="shared" ref="CY2" si="77">CX2+15</f>
        <v>1515</v>
      </c>
      <c r="CZ2" s="1">
        <f t="shared" ref="CZ2" si="78">CY2+15</f>
        <v>1530</v>
      </c>
      <c r="DA2" s="1">
        <f t="shared" ref="DA2:DB2" si="79">CZ2+15</f>
        <v>1545</v>
      </c>
      <c r="DB2" s="1">
        <f t="shared" si="79"/>
        <v>1560</v>
      </c>
      <c r="DC2" s="1">
        <f t="shared" ref="DC2" si="80">DB2+15</f>
        <v>1575</v>
      </c>
      <c r="DD2" s="1">
        <f t="shared" ref="DD2" si="81">DC2+15</f>
        <v>1590</v>
      </c>
      <c r="DE2" s="1">
        <f t="shared" ref="DE2" si="82">DD2+15</f>
        <v>1605</v>
      </c>
      <c r="DF2" s="1">
        <f t="shared" ref="DF2" si="83">DE2+15</f>
        <v>1620</v>
      </c>
      <c r="DG2" s="1">
        <f t="shared" ref="DG2" si="84">DF2+15</f>
        <v>1635</v>
      </c>
      <c r="DH2" s="1">
        <f t="shared" ref="DH2" si="85">DG2+15</f>
        <v>1650</v>
      </c>
      <c r="DI2" s="1">
        <f t="shared" ref="DI2" si="86">DH2+15</f>
        <v>1665</v>
      </c>
      <c r="DJ2" s="1">
        <f t="shared" ref="DJ2" si="87">DI2+15</f>
        <v>1680</v>
      </c>
      <c r="DK2" s="1">
        <f t="shared" ref="DK2" si="88">DJ2+15</f>
        <v>1695</v>
      </c>
      <c r="DL2" s="1">
        <f t="shared" ref="DL2" si="89">DK2+15</f>
        <v>1710</v>
      </c>
      <c r="DM2" s="1">
        <f t="shared" ref="DM2" si="90">DL2+15</f>
        <v>1725</v>
      </c>
      <c r="DN2" s="1">
        <f t="shared" ref="DN2" si="91">DM2+15</f>
        <v>1740</v>
      </c>
      <c r="DO2" s="1">
        <f t="shared" ref="DO2" si="92">DN2+15</f>
        <v>1755</v>
      </c>
      <c r="DP2" s="1">
        <f t="shared" ref="DP2" si="93">DO2+15</f>
        <v>1770</v>
      </c>
      <c r="DQ2" s="1">
        <f t="shared" ref="DQ2" si="94">DP2+15</f>
        <v>1785</v>
      </c>
      <c r="DR2" s="1">
        <f t="shared" ref="DR2" si="95">DQ2+15</f>
        <v>1800</v>
      </c>
      <c r="DS2" s="1">
        <f t="shared" ref="DS2" si="96">DR2+15</f>
        <v>1815</v>
      </c>
      <c r="DT2" s="1">
        <f t="shared" ref="DT2" si="97">DS2+15</f>
        <v>1830</v>
      </c>
      <c r="DU2" s="1">
        <f t="shared" ref="DU2" si="98">DT2+15</f>
        <v>1845</v>
      </c>
      <c r="DV2" s="1">
        <f t="shared" ref="DV2" si="99">DU2+15</f>
        <v>1860</v>
      </c>
      <c r="DW2" s="1">
        <f t="shared" ref="DW2" si="100">DV2+15</f>
        <v>1875</v>
      </c>
      <c r="DX2" s="1">
        <f t="shared" ref="DX2" si="101">DW2+15</f>
        <v>1890</v>
      </c>
      <c r="DY2" s="1">
        <f t="shared" ref="DY2" si="102">DX2+15</f>
        <v>1905</v>
      </c>
      <c r="DZ2" s="1">
        <f t="shared" ref="DZ2" si="103">DY2+15</f>
        <v>1920</v>
      </c>
      <c r="EA2" s="1">
        <f t="shared" ref="EA2" si="104">DZ2+15</f>
        <v>1935</v>
      </c>
      <c r="EB2" s="1">
        <f t="shared" ref="EB2" si="105">EA2+15</f>
        <v>1950</v>
      </c>
      <c r="EC2" s="1">
        <f t="shared" ref="EC2" si="106">EB2+15</f>
        <v>1965</v>
      </c>
      <c r="ED2" s="1">
        <f t="shared" ref="ED2" si="107">EC2+15</f>
        <v>1980</v>
      </c>
      <c r="EE2" s="1">
        <f t="shared" ref="EE2" si="108">ED2+15</f>
        <v>1995</v>
      </c>
      <c r="EF2" s="1">
        <f t="shared" ref="EF2" si="109">EE2+15</f>
        <v>2010</v>
      </c>
      <c r="EG2" s="1">
        <f t="shared" ref="EG2" si="110">EF2+15</f>
        <v>2025</v>
      </c>
      <c r="EH2" s="1">
        <f t="shared" ref="EH2" si="111">EG2+15</f>
        <v>2040</v>
      </c>
      <c r="EI2" s="1">
        <f t="shared" ref="EI2" si="112">EH2+15</f>
        <v>2055</v>
      </c>
      <c r="EJ2" s="1">
        <f t="shared" ref="EJ2" si="113">EI2+15</f>
        <v>2070</v>
      </c>
      <c r="EK2" s="1">
        <f t="shared" ref="EK2" si="114">EJ2+15</f>
        <v>2085</v>
      </c>
      <c r="EL2" s="1">
        <f t="shared" ref="EL2" si="115">EK2+15</f>
        <v>2100</v>
      </c>
      <c r="EM2" s="1">
        <f t="shared" ref="EM2" si="116">EL2+15</f>
        <v>2115</v>
      </c>
      <c r="EN2" s="1">
        <f t="shared" ref="EN2" si="117">EM2+15</f>
        <v>2130</v>
      </c>
      <c r="EO2" s="1">
        <f t="shared" ref="EO2" si="118">EN2+15</f>
        <v>2145</v>
      </c>
      <c r="EP2" s="1">
        <f t="shared" ref="EP2" si="119">EO2+15</f>
        <v>2160</v>
      </c>
      <c r="EQ2" s="1">
        <f t="shared" ref="EQ2" si="120">EP2+15</f>
        <v>2175</v>
      </c>
      <c r="ER2" s="1">
        <f t="shared" ref="ER2" si="121">EQ2+15</f>
        <v>2190</v>
      </c>
      <c r="ES2" s="1">
        <f t="shared" ref="ES2" si="122">ER2+15</f>
        <v>2205</v>
      </c>
      <c r="ET2" s="1">
        <f t="shared" ref="ET2" si="123">ES2+15</f>
        <v>2220</v>
      </c>
      <c r="EU2" s="1">
        <f t="shared" ref="EU2" si="124">ET2+15</f>
        <v>2235</v>
      </c>
      <c r="EV2" s="1">
        <f t="shared" ref="EV2" si="125">EU2+15</f>
        <v>2250</v>
      </c>
      <c r="EW2" s="1">
        <f t="shared" ref="EW2" si="126">EV2+15</f>
        <v>2265</v>
      </c>
      <c r="EX2" s="1">
        <f t="shared" ref="EX2" si="127">EW2+15</f>
        <v>2280</v>
      </c>
      <c r="EY2" s="1">
        <f t="shared" ref="EY2" si="128">EX2+15</f>
        <v>2295</v>
      </c>
      <c r="EZ2" s="1">
        <f t="shared" ref="EZ2" si="129">EY2+15</f>
        <v>2310</v>
      </c>
      <c r="FA2" s="1">
        <f t="shared" ref="FA2" si="130">EZ2+15</f>
        <v>2325</v>
      </c>
      <c r="FB2" s="1">
        <f t="shared" ref="FB2" si="131">FA2+15</f>
        <v>2340</v>
      </c>
      <c r="FC2" s="1">
        <f t="shared" ref="FC2" si="132">FB2+15</f>
        <v>2355</v>
      </c>
      <c r="FD2" s="1">
        <f t="shared" ref="FD2" si="133">FC2+15</f>
        <v>2370</v>
      </c>
      <c r="FE2" s="1">
        <f t="shared" ref="FE2" si="134">FD2+15</f>
        <v>2385</v>
      </c>
      <c r="FF2" s="1">
        <f t="shared" ref="FF2" si="135">FE2+15</f>
        <v>2400</v>
      </c>
      <c r="FG2" s="1">
        <f t="shared" ref="FG2" si="136">FF2+15</f>
        <v>2415</v>
      </c>
      <c r="FH2" s="1">
        <f t="shared" ref="FH2" si="137">FG2+15</f>
        <v>2430</v>
      </c>
      <c r="FI2" s="1">
        <f t="shared" ref="FI2" si="138">FH2+15</f>
        <v>2445</v>
      </c>
      <c r="FJ2" s="1">
        <f t="shared" ref="FJ2" si="139">FI2+15</f>
        <v>2460</v>
      </c>
      <c r="FK2" s="1">
        <f t="shared" ref="FK2" si="140">FJ2+15</f>
        <v>2475</v>
      </c>
      <c r="FL2" s="1">
        <f t="shared" ref="FL2" si="141">FK2+15</f>
        <v>2490</v>
      </c>
      <c r="FM2" s="1">
        <f t="shared" ref="FM2" si="142">FL2+15</f>
        <v>2505</v>
      </c>
      <c r="FN2" s="1">
        <f t="shared" ref="FN2" si="143">FM2+15</f>
        <v>2520</v>
      </c>
      <c r="FO2" s="1">
        <f t="shared" ref="FO2" si="144">FN2+15</f>
        <v>2535</v>
      </c>
      <c r="FP2" s="1">
        <f t="shared" ref="FP2" si="145">FO2+15</f>
        <v>2550</v>
      </c>
      <c r="FQ2" s="1">
        <f t="shared" ref="FQ2" si="146">FP2+15</f>
        <v>2565</v>
      </c>
      <c r="FR2" s="1">
        <f t="shared" ref="FR2" si="147">FQ2+15</f>
        <v>2580</v>
      </c>
      <c r="FS2" s="1">
        <f t="shared" ref="FS2" si="148">FR2+15</f>
        <v>2595</v>
      </c>
      <c r="FT2" s="1">
        <f t="shared" ref="FT2" si="149">FS2+15</f>
        <v>2610</v>
      </c>
      <c r="FU2" s="1">
        <f t="shared" ref="FU2" si="150">FT2+15</f>
        <v>2625</v>
      </c>
      <c r="FV2" s="1">
        <f t="shared" ref="FV2" si="151">FU2+15</f>
        <v>2640</v>
      </c>
      <c r="FW2" s="1">
        <f t="shared" ref="FW2" si="152">FV2+15</f>
        <v>2655</v>
      </c>
      <c r="FX2" s="1">
        <f t="shared" ref="FX2" si="153">FW2+15</f>
        <v>2670</v>
      </c>
      <c r="FY2" s="1">
        <f t="shared" ref="FY2" si="154">FX2+15</f>
        <v>2685</v>
      </c>
      <c r="FZ2" s="1">
        <f t="shared" ref="FZ2" si="155">FY2+15</f>
        <v>2700</v>
      </c>
      <c r="GA2" s="1">
        <f t="shared" ref="GA2" si="156">FZ2+15</f>
        <v>2715</v>
      </c>
      <c r="GB2" s="1">
        <f t="shared" ref="GB2" si="157">GA2+15</f>
        <v>2730</v>
      </c>
      <c r="GC2" s="1">
        <f t="shared" ref="GC2" si="158">GB2+15</f>
        <v>2745</v>
      </c>
      <c r="GD2" s="1">
        <f t="shared" ref="GD2" si="159">GC2+15</f>
        <v>2760</v>
      </c>
      <c r="GE2" s="1">
        <f t="shared" ref="GE2" si="160">GD2+15</f>
        <v>2775</v>
      </c>
      <c r="GF2" s="1">
        <f t="shared" ref="GF2" si="161">GE2+15</f>
        <v>2790</v>
      </c>
      <c r="GG2" s="1">
        <f t="shared" ref="GG2" si="162">GF2+15</f>
        <v>2805</v>
      </c>
      <c r="GH2" s="1">
        <f t="shared" ref="GH2" si="163">GG2+15</f>
        <v>2820</v>
      </c>
      <c r="GI2" s="1">
        <f t="shared" ref="GI2" si="164">GH2+15</f>
        <v>2835</v>
      </c>
      <c r="GJ2" s="1">
        <f t="shared" ref="GJ2" si="165">GI2+15</f>
        <v>2850</v>
      </c>
      <c r="GK2" s="1">
        <f t="shared" ref="GK2" si="166">GJ2+15</f>
        <v>2865</v>
      </c>
      <c r="GL2" s="1">
        <f t="shared" ref="GL2" si="167">GK2+15</f>
        <v>2880</v>
      </c>
      <c r="GM2" s="1">
        <f t="shared" ref="GM2" si="168">GL2+15</f>
        <v>2895</v>
      </c>
      <c r="GN2" s="1">
        <f t="shared" ref="GN2" si="169">GM2+15</f>
        <v>2910</v>
      </c>
      <c r="GO2" s="1">
        <f t="shared" ref="GO2" si="170">GN2+15</f>
        <v>2925</v>
      </c>
      <c r="GP2" s="1">
        <f t="shared" ref="GP2" si="171">GO2+15</f>
        <v>2940</v>
      </c>
      <c r="GQ2" s="1">
        <f t="shared" ref="GQ2" si="172">GP2+15</f>
        <v>2955</v>
      </c>
      <c r="GR2" s="1">
        <f t="shared" ref="GR2" si="173">GQ2+15</f>
        <v>2970</v>
      </c>
      <c r="GS2" s="1">
        <f t="shared" ref="GS2" si="174">GR2+15</f>
        <v>2985</v>
      </c>
      <c r="GT2" s="1">
        <f t="shared" ref="GT2" si="175">GS2+15</f>
        <v>3000</v>
      </c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</row>
    <row r="3" spans="1:220" x14ac:dyDescent="0.25">
      <c r="A3" s="1" t="s">
        <v>1</v>
      </c>
      <c r="B3" s="1">
        <f>RADIANS(B2)</f>
        <v>0</v>
      </c>
      <c r="C3" s="1">
        <f t="shared" ref="C3:Z3" si="176">RADIANS(C2)</f>
        <v>0.26179938779914941</v>
      </c>
      <c r="D3" s="1">
        <f t="shared" si="176"/>
        <v>0.52359877559829882</v>
      </c>
      <c r="E3" s="1">
        <f>RADIANS(E2)</f>
        <v>0.78539816339744828</v>
      </c>
      <c r="F3" s="1">
        <f t="shared" si="176"/>
        <v>1.0471975511965976</v>
      </c>
      <c r="G3" s="1">
        <f t="shared" si="176"/>
        <v>1.3089969389957472</v>
      </c>
      <c r="H3" s="1">
        <f t="shared" si="176"/>
        <v>1.5707963267948966</v>
      </c>
      <c r="I3" s="1">
        <f t="shared" si="176"/>
        <v>1.8325957145940461</v>
      </c>
      <c r="J3" s="1">
        <f t="shared" si="176"/>
        <v>2.0943951023931953</v>
      </c>
      <c r="K3" s="1">
        <f t="shared" si="176"/>
        <v>2.3561944901923448</v>
      </c>
      <c r="L3" s="1">
        <f t="shared" si="176"/>
        <v>2.6179938779914944</v>
      </c>
      <c r="M3" s="1">
        <f t="shared" si="176"/>
        <v>2.8797932657906435</v>
      </c>
      <c r="N3" s="1">
        <f t="shared" si="176"/>
        <v>3.1415926535897931</v>
      </c>
      <c r="O3" s="1">
        <f t="shared" si="176"/>
        <v>3.4033920413889427</v>
      </c>
      <c r="P3" s="1">
        <f t="shared" si="176"/>
        <v>3.6651914291880923</v>
      </c>
      <c r="Q3" s="1">
        <f t="shared" si="176"/>
        <v>3.9269908169872414</v>
      </c>
      <c r="R3" s="1">
        <f t="shared" si="176"/>
        <v>4.1887902047863905</v>
      </c>
      <c r="S3" s="1">
        <f t="shared" si="176"/>
        <v>4.4505895925855405</v>
      </c>
      <c r="T3" s="1">
        <f t="shared" si="176"/>
        <v>4.7123889803846897</v>
      </c>
      <c r="U3" s="1">
        <f t="shared" si="176"/>
        <v>4.9741883681838388</v>
      </c>
      <c r="V3" s="1">
        <f t="shared" si="176"/>
        <v>5.2359877559829888</v>
      </c>
      <c r="W3" s="1">
        <f t="shared" si="176"/>
        <v>5.497787143782138</v>
      </c>
      <c r="X3" s="1">
        <f t="shared" si="176"/>
        <v>5.7595865315812871</v>
      </c>
      <c r="Y3" s="1">
        <f t="shared" si="176"/>
        <v>6.0213859193804371</v>
      </c>
      <c r="Z3" s="1">
        <f t="shared" si="176"/>
        <v>6.2831853071795862</v>
      </c>
      <c r="AA3" s="1">
        <f t="shared" ref="AA3:AD3" si="177">RADIANS(AA2)</f>
        <v>6.5449846949787354</v>
      </c>
      <c r="AB3" s="1">
        <f t="shared" si="177"/>
        <v>6.8067840827778854</v>
      </c>
      <c r="AC3" s="1">
        <f t="shared" si="177"/>
        <v>7.0685834705770345</v>
      </c>
      <c r="AD3" s="1">
        <f t="shared" si="177"/>
        <v>7.3303828583761845</v>
      </c>
      <c r="AE3" s="1">
        <f t="shared" ref="AE3:CP3" si="178">RADIANS(AE2)</f>
        <v>7.5921822461753337</v>
      </c>
      <c r="AF3" s="1">
        <f t="shared" si="178"/>
        <v>7.8539816339744828</v>
      </c>
      <c r="AG3" s="1">
        <f t="shared" si="178"/>
        <v>8.1157810217736319</v>
      </c>
      <c r="AH3" s="1">
        <f t="shared" si="178"/>
        <v>8.3775804095727811</v>
      </c>
      <c r="AI3" s="1">
        <f t="shared" si="178"/>
        <v>8.639379797371932</v>
      </c>
      <c r="AJ3" s="1">
        <f t="shared" si="178"/>
        <v>8.9011791851710811</v>
      </c>
      <c r="AK3" s="1">
        <f t="shared" si="178"/>
        <v>9.1629785729702302</v>
      </c>
      <c r="AL3" s="1">
        <f t="shared" si="178"/>
        <v>9.4247779607693793</v>
      </c>
      <c r="AM3" s="1">
        <f t="shared" si="178"/>
        <v>9.6865773485685285</v>
      </c>
      <c r="AN3" s="1">
        <f t="shared" si="178"/>
        <v>9.9483767363676776</v>
      </c>
      <c r="AO3" s="1">
        <f t="shared" si="178"/>
        <v>10.210176124166829</v>
      </c>
      <c r="AP3" s="1">
        <f t="shared" si="178"/>
        <v>10.471975511965978</v>
      </c>
      <c r="AQ3" s="1">
        <f t="shared" si="178"/>
        <v>10.733774899765127</v>
      </c>
      <c r="AR3" s="1">
        <f t="shared" si="178"/>
        <v>10.995574287564276</v>
      </c>
      <c r="AS3" s="1">
        <f t="shared" si="178"/>
        <v>11.257373675363425</v>
      </c>
      <c r="AT3" s="1">
        <f t="shared" si="178"/>
        <v>11.519173063162574</v>
      </c>
      <c r="AU3" s="1">
        <f t="shared" si="178"/>
        <v>11.780972450961725</v>
      </c>
      <c r="AV3" s="1">
        <f t="shared" si="178"/>
        <v>12.042771838760874</v>
      </c>
      <c r="AW3" s="1">
        <f t="shared" si="178"/>
        <v>12.304571226560023</v>
      </c>
      <c r="AX3" s="1">
        <f t="shared" si="178"/>
        <v>12.566370614359172</v>
      </c>
      <c r="AY3" s="1">
        <f t="shared" si="178"/>
        <v>12.828170002158322</v>
      </c>
      <c r="AZ3" s="1">
        <f t="shared" si="178"/>
        <v>13.089969389957471</v>
      </c>
      <c r="BA3" s="1">
        <f t="shared" si="178"/>
        <v>13.351768777756622</v>
      </c>
      <c r="BB3" s="1">
        <f t="shared" si="178"/>
        <v>13.613568165555771</v>
      </c>
      <c r="BC3" s="1">
        <f t="shared" si="178"/>
        <v>13.87536755335492</v>
      </c>
      <c r="BD3" s="1">
        <f t="shared" si="178"/>
        <v>14.137166941154069</v>
      </c>
      <c r="BE3" s="1">
        <f t="shared" si="178"/>
        <v>14.398966328953218</v>
      </c>
      <c r="BF3" s="1">
        <f t="shared" si="178"/>
        <v>14.660765716752369</v>
      </c>
      <c r="BG3" s="1">
        <f t="shared" si="178"/>
        <v>14.922565104551518</v>
      </c>
      <c r="BH3" s="1">
        <f t="shared" si="178"/>
        <v>15.184364492350667</v>
      </c>
      <c r="BI3" s="1">
        <f t="shared" si="178"/>
        <v>15.446163880149816</v>
      </c>
      <c r="BJ3" s="1">
        <f t="shared" si="178"/>
        <v>15.707963267948966</v>
      </c>
      <c r="BK3" s="1">
        <f t="shared" si="178"/>
        <v>15.969762655748115</v>
      </c>
      <c r="BL3" s="1">
        <f t="shared" si="178"/>
        <v>16.231562043547264</v>
      </c>
      <c r="BM3" s="1">
        <f t="shared" si="178"/>
        <v>16.493361431346415</v>
      </c>
      <c r="BN3" s="1">
        <f t="shared" si="178"/>
        <v>16.755160819145562</v>
      </c>
      <c r="BO3" s="1">
        <f t="shared" si="178"/>
        <v>17.016960206944713</v>
      </c>
      <c r="BP3" s="1">
        <f t="shared" si="178"/>
        <v>17.278759594743864</v>
      </c>
      <c r="BQ3" s="1">
        <f t="shared" si="178"/>
        <v>17.540558982543011</v>
      </c>
      <c r="BR3" s="1">
        <f t="shared" si="178"/>
        <v>17.802358370342162</v>
      </c>
      <c r="BS3" s="1">
        <f t="shared" si="178"/>
        <v>18.06415775814131</v>
      </c>
      <c r="BT3" s="1">
        <f t="shared" si="178"/>
        <v>18.32595714594046</v>
      </c>
      <c r="BU3" s="1">
        <f t="shared" si="178"/>
        <v>18.587756533739611</v>
      </c>
      <c r="BV3" s="1">
        <f t="shared" si="178"/>
        <v>18.849555921538759</v>
      </c>
      <c r="BW3" s="1">
        <f t="shared" si="178"/>
        <v>19.11135530933791</v>
      </c>
      <c r="BX3" s="1">
        <f t="shared" si="178"/>
        <v>19.373154697137057</v>
      </c>
      <c r="BY3" s="1">
        <f t="shared" si="178"/>
        <v>19.634954084936208</v>
      </c>
      <c r="BZ3" s="1">
        <f t="shared" si="178"/>
        <v>19.896753472735355</v>
      </c>
      <c r="CA3" s="1">
        <f t="shared" si="178"/>
        <v>20.158552860534506</v>
      </c>
      <c r="CB3" s="1">
        <f t="shared" si="178"/>
        <v>20.420352248333657</v>
      </c>
      <c r="CC3" s="1">
        <f t="shared" si="178"/>
        <v>20.682151636132804</v>
      </c>
      <c r="CD3" s="1">
        <f t="shared" si="178"/>
        <v>20.943951023931955</v>
      </c>
      <c r="CE3" s="1">
        <f t="shared" si="178"/>
        <v>21.205750411731103</v>
      </c>
      <c r="CF3" s="1">
        <f t="shared" si="178"/>
        <v>21.467549799530254</v>
      </c>
      <c r="CG3" s="1">
        <f t="shared" si="178"/>
        <v>21.729349187329404</v>
      </c>
      <c r="CH3" s="1">
        <f t="shared" si="178"/>
        <v>21.991148575128552</v>
      </c>
      <c r="CI3" s="1">
        <f t="shared" si="178"/>
        <v>22.252947962927703</v>
      </c>
      <c r="CJ3" s="1">
        <f t="shared" si="178"/>
        <v>22.51474735072685</v>
      </c>
      <c r="CK3" s="1">
        <f t="shared" si="178"/>
        <v>22.776546738526001</v>
      </c>
      <c r="CL3" s="1">
        <f t="shared" si="178"/>
        <v>23.038346126325148</v>
      </c>
      <c r="CM3" s="1">
        <f t="shared" si="178"/>
        <v>23.300145514124299</v>
      </c>
      <c r="CN3" s="1">
        <f t="shared" si="178"/>
        <v>23.56194490192345</v>
      </c>
      <c r="CO3" s="1">
        <f t="shared" si="178"/>
        <v>23.823744289722598</v>
      </c>
      <c r="CP3" s="1">
        <f t="shared" si="178"/>
        <v>24.085543677521748</v>
      </c>
      <c r="CQ3" s="1">
        <f t="shared" ref="CQ3:DA3" si="179">RADIANS(CQ2)</f>
        <v>24.347343065320896</v>
      </c>
      <c r="CR3" s="1">
        <f t="shared" si="179"/>
        <v>24.609142453120047</v>
      </c>
      <c r="CS3" s="1">
        <f t="shared" si="179"/>
        <v>24.870941840919198</v>
      </c>
      <c r="CT3" s="1">
        <f t="shared" si="179"/>
        <v>25.132741228718345</v>
      </c>
      <c r="CU3" s="1">
        <f t="shared" si="179"/>
        <v>25.394540616517496</v>
      </c>
      <c r="CV3" s="1">
        <f t="shared" si="179"/>
        <v>25.656340004316643</v>
      </c>
      <c r="CW3" s="1">
        <f t="shared" si="179"/>
        <v>25.918139392115794</v>
      </c>
      <c r="CX3" s="1">
        <f t="shared" si="179"/>
        <v>26.179938779914941</v>
      </c>
      <c r="CY3" s="1">
        <f t="shared" si="179"/>
        <v>26.441738167714092</v>
      </c>
      <c r="CZ3" s="1">
        <f t="shared" si="179"/>
        <v>26.703537555513243</v>
      </c>
      <c r="DA3" s="1">
        <f t="shared" si="179"/>
        <v>26.965336943312391</v>
      </c>
      <c r="DB3" s="1">
        <f t="shared" ref="DB3:DC3" si="180">RADIANS(DB2)</f>
        <v>27.227136331111542</v>
      </c>
      <c r="DC3" s="1">
        <f t="shared" si="180"/>
        <v>27.488935718910689</v>
      </c>
      <c r="DD3" s="1">
        <f t="shared" ref="DD3:FO3" si="181">RADIANS(DD2)</f>
        <v>27.75073510670984</v>
      </c>
      <c r="DE3" s="1">
        <f t="shared" si="181"/>
        <v>28.012534494508991</v>
      </c>
      <c r="DF3" s="1">
        <f t="shared" si="181"/>
        <v>28.274333882308138</v>
      </c>
      <c r="DG3" s="1">
        <f t="shared" si="181"/>
        <v>28.536133270107289</v>
      </c>
      <c r="DH3" s="1">
        <f t="shared" si="181"/>
        <v>28.797932657906436</v>
      </c>
      <c r="DI3" s="1">
        <f t="shared" si="181"/>
        <v>29.059732045705587</v>
      </c>
      <c r="DJ3" s="1">
        <f t="shared" si="181"/>
        <v>29.321531433504738</v>
      </c>
      <c r="DK3" s="1">
        <f t="shared" si="181"/>
        <v>29.583330821303885</v>
      </c>
      <c r="DL3" s="1">
        <f t="shared" si="181"/>
        <v>29.845130209103036</v>
      </c>
      <c r="DM3" s="1">
        <f t="shared" si="181"/>
        <v>30.106929596902184</v>
      </c>
      <c r="DN3" s="1">
        <f t="shared" si="181"/>
        <v>30.368728984701335</v>
      </c>
      <c r="DO3" s="1">
        <f t="shared" si="181"/>
        <v>30.630528372500482</v>
      </c>
      <c r="DP3" s="1">
        <f t="shared" si="181"/>
        <v>30.892327760299633</v>
      </c>
      <c r="DQ3" s="1">
        <f t="shared" si="181"/>
        <v>31.154127148098784</v>
      </c>
      <c r="DR3" s="1">
        <f t="shared" si="181"/>
        <v>31.415926535897931</v>
      </c>
      <c r="DS3" s="1">
        <f t="shared" si="181"/>
        <v>31.677725923697082</v>
      </c>
      <c r="DT3" s="1">
        <f t="shared" si="181"/>
        <v>31.939525311496229</v>
      </c>
      <c r="DU3" s="1">
        <f t="shared" si="181"/>
        <v>32.201324699295377</v>
      </c>
      <c r="DV3" s="1">
        <f t="shared" si="181"/>
        <v>32.463124087094528</v>
      </c>
      <c r="DW3" s="1">
        <f t="shared" si="181"/>
        <v>32.724923474893679</v>
      </c>
      <c r="DX3" s="1">
        <f t="shared" si="181"/>
        <v>32.986722862692829</v>
      </c>
      <c r="DY3" s="1">
        <f t="shared" si="181"/>
        <v>33.24852225049198</v>
      </c>
      <c r="DZ3" s="1">
        <f t="shared" si="181"/>
        <v>33.510321638291124</v>
      </c>
      <c r="EA3" s="1">
        <f t="shared" si="181"/>
        <v>33.772121026090275</v>
      </c>
      <c r="EB3" s="1">
        <f t="shared" si="181"/>
        <v>34.033920413889426</v>
      </c>
      <c r="EC3" s="1">
        <f t="shared" si="181"/>
        <v>34.295719801688577</v>
      </c>
      <c r="ED3" s="1">
        <f t="shared" si="181"/>
        <v>34.557519189487728</v>
      </c>
      <c r="EE3" s="1">
        <f t="shared" si="181"/>
        <v>34.819318577286872</v>
      </c>
      <c r="EF3" s="1">
        <f t="shared" si="181"/>
        <v>35.081117965086023</v>
      </c>
      <c r="EG3" s="1">
        <f t="shared" si="181"/>
        <v>35.342917352885173</v>
      </c>
      <c r="EH3" s="1">
        <f t="shared" si="181"/>
        <v>35.604716740684324</v>
      </c>
      <c r="EI3" s="1">
        <f t="shared" si="181"/>
        <v>35.866516128483475</v>
      </c>
      <c r="EJ3" s="1">
        <f t="shared" si="181"/>
        <v>36.128315516282619</v>
      </c>
      <c r="EK3" s="1">
        <f t="shared" si="181"/>
        <v>36.39011490408177</v>
      </c>
      <c r="EL3" s="1">
        <f t="shared" si="181"/>
        <v>36.651914291880921</v>
      </c>
      <c r="EM3" s="1">
        <f t="shared" si="181"/>
        <v>36.913713679680072</v>
      </c>
      <c r="EN3" s="1">
        <f t="shared" si="181"/>
        <v>37.175513067479223</v>
      </c>
      <c r="EO3" s="1">
        <f t="shared" si="181"/>
        <v>37.437312455278366</v>
      </c>
      <c r="EP3" s="1">
        <f t="shared" si="181"/>
        <v>37.699111843077517</v>
      </c>
      <c r="EQ3" s="1">
        <f t="shared" si="181"/>
        <v>37.960911230876668</v>
      </c>
      <c r="ER3" s="1">
        <f t="shared" si="181"/>
        <v>38.222710618675819</v>
      </c>
      <c r="ES3" s="1">
        <f t="shared" si="181"/>
        <v>38.484510006474963</v>
      </c>
      <c r="ET3" s="1">
        <f t="shared" si="181"/>
        <v>38.746309394274114</v>
      </c>
      <c r="EU3" s="1">
        <f t="shared" si="181"/>
        <v>39.008108782073265</v>
      </c>
      <c r="EV3" s="1">
        <f t="shared" si="181"/>
        <v>39.269908169872416</v>
      </c>
      <c r="EW3" s="1">
        <f t="shared" si="181"/>
        <v>39.531707557671567</v>
      </c>
      <c r="EX3" s="1">
        <f t="shared" si="181"/>
        <v>39.79350694547071</v>
      </c>
      <c r="EY3" s="1">
        <f t="shared" si="181"/>
        <v>40.055306333269861</v>
      </c>
      <c r="EZ3" s="1">
        <f t="shared" si="181"/>
        <v>40.317105721069012</v>
      </c>
      <c r="FA3" s="1">
        <f t="shared" si="181"/>
        <v>40.578905108868163</v>
      </c>
      <c r="FB3" s="1">
        <f t="shared" si="181"/>
        <v>40.840704496667314</v>
      </c>
      <c r="FC3" s="1">
        <f t="shared" si="181"/>
        <v>41.102503884466458</v>
      </c>
      <c r="FD3" s="1">
        <f t="shared" si="181"/>
        <v>41.364303272265609</v>
      </c>
      <c r="FE3" s="1">
        <f t="shared" si="181"/>
        <v>41.62610266006476</v>
      </c>
      <c r="FF3" s="1">
        <f t="shared" si="181"/>
        <v>41.887902047863911</v>
      </c>
      <c r="FG3" s="1">
        <f t="shared" si="181"/>
        <v>42.149701435663061</v>
      </c>
      <c r="FH3" s="1">
        <f t="shared" si="181"/>
        <v>42.411500823462205</v>
      </c>
      <c r="FI3" s="1">
        <f t="shared" si="181"/>
        <v>42.673300211261356</v>
      </c>
      <c r="FJ3" s="1">
        <f t="shared" si="181"/>
        <v>42.935099599060507</v>
      </c>
      <c r="FK3" s="1">
        <f t="shared" si="181"/>
        <v>43.196898986859658</v>
      </c>
      <c r="FL3" s="1">
        <f t="shared" si="181"/>
        <v>43.458698374658809</v>
      </c>
      <c r="FM3" s="1">
        <f t="shared" si="181"/>
        <v>43.720497762457953</v>
      </c>
      <c r="FN3" s="1">
        <f t="shared" si="181"/>
        <v>43.982297150257104</v>
      </c>
      <c r="FO3" s="1">
        <f t="shared" si="181"/>
        <v>44.244096538056255</v>
      </c>
      <c r="FP3" s="1">
        <f t="shared" ref="FP3:GT3" si="182">RADIANS(FP2)</f>
        <v>44.505895925855405</v>
      </c>
      <c r="FQ3" s="1">
        <f t="shared" si="182"/>
        <v>44.767695313654556</v>
      </c>
      <c r="FR3" s="1">
        <f t="shared" si="182"/>
        <v>45.0294947014537</v>
      </c>
      <c r="FS3" s="1">
        <f t="shared" si="182"/>
        <v>45.291294089252851</v>
      </c>
      <c r="FT3" s="1">
        <f t="shared" si="182"/>
        <v>45.553093477052002</v>
      </c>
      <c r="FU3" s="1">
        <f t="shared" si="182"/>
        <v>45.814892864851153</v>
      </c>
      <c r="FV3" s="1">
        <f t="shared" si="182"/>
        <v>46.076692252650297</v>
      </c>
      <c r="FW3" s="1">
        <f t="shared" si="182"/>
        <v>46.338491640449448</v>
      </c>
      <c r="FX3" s="1">
        <f t="shared" si="182"/>
        <v>46.600291028248598</v>
      </c>
      <c r="FY3" s="1">
        <f t="shared" si="182"/>
        <v>46.862090416047749</v>
      </c>
      <c r="FZ3" s="1">
        <f t="shared" si="182"/>
        <v>47.1238898038469</v>
      </c>
      <c r="GA3" s="1">
        <f t="shared" si="182"/>
        <v>47.385689191646044</v>
      </c>
      <c r="GB3" s="1">
        <f t="shared" si="182"/>
        <v>47.647488579445195</v>
      </c>
      <c r="GC3" s="1">
        <f t="shared" si="182"/>
        <v>47.909287967244346</v>
      </c>
      <c r="GD3" s="1">
        <f t="shared" si="182"/>
        <v>48.171087355043497</v>
      </c>
      <c r="GE3" s="1">
        <f t="shared" si="182"/>
        <v>48.432886742842648</v>
      </c>
      <c r="GF3" s="1">
        <f t="shared" si="182"/>
        <v>48.694686130641792</v>
      </c>
      <c r="GG3" s="1">
        <f t="shared" si="182"/>
        <v>48.956485518440942</v>
      </c>
      <c r="GH3" s="1">
        <f t="shared" si="182"/>
        <v>49.218284906240093</v>
      </c>
      <c r="GI3" s="1">
        <f t="shared" si="182"/>
        <v>49.480084294039244</v>
      </c>
      <c r="GJ3" s="1">
        <f t="shared" si="182"/>
        <v>49.741883681838395</v>
      </c>
      <c r="GK3" s="1">
        <f t="shared" si="182"/>
        <v>50.003683069637539</v>
      </c>
      <c r="GL3" s="1">
        <f t="shared" si="182"/>
        <v>50.26548245743669</v>
      </c>
      <c r="GM3" s="1">
        <f t="shared" si="182"/>
        <v>50.527281845235841</v>
      </c>
      <c r="GN3" s="1">
        <f t="shared" si="182"/>
        <v>50.789081233034992</v>
      </c>
      <c r="GO3" s="1">
        <f t="shared" si="182"/>
        <v>51.050880620834143</v>
      </c>
      <c r="GP3" s="1">
        <f t="shared" si="182"/>
        <v>51.312680008633286</v>
      </c>
      <c r="GQ3" s="1">
        <f t="shared" si="182"/>
        <v>51.574479396432437</v>
      </c>
      <c r="GR3" s="1">
        <f t="shared" si="182"/>
        <v>51.836278784231588</v>
      </c>
      <c r="GS3" s="1">
        <f t="shared" si="182"/>
        <v>52.098078172030739</v>
      </c>
      <c r="GT3" s="1">
        <f t="shared" si="182"/>
        <v>52.359877559829883</v>
      </c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</row>
    <row r="4" spans="1:220" x14ac:dyDescent="0.25">
      <c r="A4" s="1" t="s">
        <v>2</v>
      </c>
      <c r="B4" s="1">
        <f>17*COS(B3)+7*COS(17*B3/7)</f>
        <v>24</v>
      </c>
      <c r="C4" s="1">
        <f t="shared" ref="C4:BN4" si="183">17*COS(C3)+7*COS(17*C3/7)</f>
        <v>22.052923505280837</v>
      </c>
      <c r="D4" s="1">
        <f t="shared" si="183"/>
        <v>16.785718085211791</v>
      </c>
      <c r="E4" s="1">
        <f t="shared" si="183"/>
        <v>9.7088618464851386</v>
      </c>
      <c r="F4" s="1">
        <f t="shared" si="183"/>
        <v>2.7163285797880388</v>
      </c>
      <c r="G4" s="1">
        <f t="shared" si="183"/>
        <v>-2.5951811667759372</v>
      </c>
      <c r="H4" s="1">
        <f t="shared" si="183"/>
        <v>-5.4728203772762063</v>
      </c>
      <c r="I4" s="1">
        <f t="shared" si="183"/>
        <v>-6.2116570824604986</v>
      </c>
      <c r="J4" s="1">
        <f t="shared" si="183"/>
        <v>-5.9426128294352347</v>
      </c>
      <c r="K4" s="1">
        <f t="shared" si="183"/>
        <v>-6.0937458855733189</v>
      </c>
      <c r="L4" s="1">
        <f t="shared" si="183"/>
        <v>-7.742005284067198</v>
      </c>
      <c r="M4" s="1">
        <f t="shared" si="183"/>
        <v>-11.114936984895987</v>
      </c>
      <c r="N4" s="1">
        <f t="shared" si="183"/>
        <v>-15.442353462305803</v>
      </c>
      <c r="O4" s="1">
        <f t="shared" si="183"/>
        <v>-19.219983217152347</v>
      </c>
      <c r="P4" s="1">
        <f t="shared" si="183"/>
        <v>-20.784609690826528</v>
      </c>
      <c r="Q4" s="1">
        <f t="shared" si="183"/>
        <v>-18.976800749424008</v>
      </c>
      <c r="R4" s="1">
        <f t="shared" si="183"/>
        <v>-13.631363102808796</v>
      </c>
      <c r="S4" s="1">
        <f t="shared" si="183"/>
        <v>-5.7013050168832455</v>
      </c>
      <c r="T4" s="1">
        <f t="shared" si="183"/>
        <v>3.0371861738229011</v>
      </c>
      <c r="U4" s="1">
        <f t="shared" si="183"/>
        <v>10.588731521275108</v>
      </c>
      <c r="V4" s="1">
        <f t="shared" si="183"/>
        <v>15.421815783575902</v>
      </c>
      <c r="W4" s="1">
        <f t="shared" si="183"/>
        <v>16.970562748477146</v>
      </c>
      <c r="X4" s="1">
        <f t="shared" si="183"/>
        <v>15.765727727568681</v>
      </c>
      <c r="Y4" s="1">
        <f t="shared" si="183"/>
        <v>13.149858649002732</v>
      </c>
      <c r="Z4" s="1">
        <f t="shared" si="183"/>
        <v>10.693217924683063</v>
      </c>
      <c r="AA4" s="1">
        <f t="shared" si="183"/>
        <v>9.5427737342811465</v>
      </c>
      <c r="AB4" s="1">
        <f t="shared" si="183"/>
        <v>9.9612226999390217</v>
      </c>
      <c r="AC4" s="1">
        <f t="shared" si="183"/>
        <v>11.237063947448146</v>
      </c>
      <c r="AD4" s="1">
        <f t="shared" si="183"/>
        <v>11.999999999999998</v>
      </c>
      <c r="AE4" s="1">
        <f t="shared" si="183"/>
        <v>10.815859557832683</v>
      </c>
      <c r="AF4" s="1">
        <f t="shared" si="183"/>
        <v>6.824495385272769</v>
      </c>
      <c r="AG4" s="1">
        <f t="shared" si="183"/>
        <v>0.1660881122040081</v>
      </c>
      <c r="AH4" s="1">
        <f t="shared" si="183"/>
        <v>-7.976889344895004</v>
      </c>
      <c r="AI4" s="1">
        <f t="shared" si="183"/>
        <v>-15.745039815778672</v>
      </c>
      <c r="AJ4" s="1">
        <f t="shared" si="183"/>
        <v>-21.238548104844895</v>
      </c>
      <c r="AK4" s="1">
        <f t="shared" si="183"/>
        <v>-23.182219830937644</v>
      </c>
      <c r="AL4" s="1">
        <f t="shared" si="183"/>
        <v>-21.364428613011139</v>
      </c>
      <c r="AM4" s="1">
        <f t="shared" si="183"/>
        <v>-16.682477406848459</v>
      </c>
      <c r="AN4" s="1">
        <f t="shared" si="183"/>
        <v>-10.779191457890134</v>
      </c>
      <c r="AO4" s="1">
        <f t="shared" si="183"/>
        <v>-5.4136319680127247</v>
      </c>
      <c r="AP4" s="1">
        <f t="shared" si="183"/>
        <v>-1.810990359497012</v>
      </c>
      <c r="AQ4" s="1">
        <f t="shared" si="183"/>
        <v>-0.2431824677283565</v>
      </c>
      <c r="AR4" s="1">
        <f t="shared" si="183"/>
        <v>1.2434497875801753E-14</v>
      </c>
      <c r="AS4" s="1">
        <f t="shared" si="183"/>
        <v>0.24318246772833341</v>
      </c>
      <c r="AT4" s="1">
        <f t="shared" si="183"/>
        <v>1.8109903594970058</v>
      </c>
      <c r="AU4" s="1">
        <f t="shared" si="183"/>
        <v>5.4136319680127389</v>
      </c>
      <c r="AV4" s="1">
        <f t="shared" si="183"/>
        <v>10.779191457890093</v>
      </c>
      <c r="AW4" s="1">
        <f t="shared" si="183"/>
        <v>16.682477406848442</v>
      </c>
      <c r="AX4" s="1">
        <f t="shared" si="183"/>
        <v>21.36442861301115</v>
      </c>
      <c r="AY4" s="1">
        <f t="shared" si="183"/>
        <v>23.182219830937637</v>
      </c>
      <c r="AZ4" s="1">
        <f t="shared" si="183"/>
        <v>21.238548104844895</v>
      </c>
      <c r="BA4" s="1">
        <f t="shared" si="183"/>
        <v>15.74503981577865</v>
      </c>
      <c r="BB4" s="1">
        <f t="shared" si="183"/>
        <v>7.9768893448950289</v>
      </c>
      <c r="BC4" s="1">
        <f t="shared" si="183"/>
        <v>-0.16608811220398234</v>
      </c>
      <c r="BD4" s="1">
        <f t="shared" si="183"/>
        <v>-6.8244953852727512</v>
      </c>
      <c r="BE4" s="1">
        <f t="shared" si="183"/>
        <v>-10.815859557832685</v>
      </c>
      <c r="BF4" s="1">
        <f t="shared" si="183"/>
        <v>-12.000000000000004</v>
      </c>
      <c r="BG4" s="1">
        <f t="shared" si="183"/>
        <v>-11.237063947448162</v>
      </c>
      <c r="BH4" s="1">
        <f t="shared" si="183"/>
        <v>-9.9612226999390323</v>
      </c>
      <c r="BI4" s="1">
        <f t="shared" si="183"/>
        <v>-9.5427737342811376</v>
      </c>
      <c r="BJ4" s="1">
        <f t="shared" si="183"/>
        <v>-10.693217924683072</v>
      </c>
      <c r="BK4" s="1">
        <f t="shared" si="183"/>
        <v>-13.14985864900269</v>
      </c>
      <c r="BL4" s="1">
        <f t="shared" si="183"/>
        <v>-15.765727727568683</v>
      </c>
      <c r="BM4" s="1">
        <f t="shared" si="183"/>
        <v>-16.97056274847716</v>
      </c>
      <c r="BN4" s="1">
        <f t="shared" si="183"/>
        <v>-15.421815783575923</v>
      </c>
      <c r="BO4" s="1">
        <f t="shared" ref="BO4:DZ4" si="184">17*COS(BO3)+7*COS(17*BO3/7)</f>
        <v>-10.588731521275145</v>
      </c>
      <c r="BP4" s="1">
        <f t="shared" si="184"/>
        <v>-3.0371861738228874</v>
      </c>
      <c r="BQ4" s="1">
        <f t="shared" si="184"/>
        <v>5.7013050168832295</v>
      </c>
      <c r="BR4" s="1">
        <f t="shared" si="184"/>
        <v>13.631363102808812</v>
      </c>
      <c r="BS4" s="1">
        <f t="shared" si="184"/>
        <v>18.976800749423987</v>
      </c>
      <c r="BT4" s="1">
        <f t="shared" si="184"/>
        <v>20.784609690826549</v>
      </c>
      <c r="BU4" s="1">
        <f t="shared" si="184"/>
        <v>19.219983217152357</v>
      </c>
      <c r="BV4" s="1">
        <f t="shared" si="184"/>
        <v>15.44235346230581</v>
      </c>
      <c r="BW4" s="1">
        <f t="shared" si="184"/>
        <v>11.114936984895969</v>
      </c>
      <c r="BX4" s="1">
        <f t="shared" si="184"/>
        <v>7.7420052840672104</v>
      </c>
      <c r="BY4" s="1">
        <f t="shared" si="184"/>
        <v>6.0937458855733206</v>
      </c>
      <c r="BZ4" s="1">
        <f t="shared" si="184"/>
        <v>5.9426128294352125</v>
      </c>
      <c r="CA4" s="1">
        <f t="shared" si="184"/>
        <v>6.2116570824604924</v>
      </c>
      <c r="CB4" s="1">
        <f t="shared" si="184"/>
        <v>5.4728203772762063</v>
      </c>
      <c r="CC4" s="1">
        <f t="shared" si="184"/>
        <v>2.5951811667759541</v>
      </c>
      <c r="CD4" s="1">
        <f t="shared" si="184"/>
        <v>-2.7163285797880423</v>
      </c>
      <c r="CE4" s="1">
        <f t="shared" si="184"/>
        <v>-9.7088618464851102</v>
      </c>
      <c r="CF4" s="1">
        <f t="shared" si="184"/>
        <v>-16.785718085211816</v>
      </c>
      <c r="CG4" s="1">
        <f t="shared" si="184"/>
        <v>-22.05292350528083</v>
      </c>
      <c r="CH4" s="1">
        <f t="shared" si="184"/>
        <v>-24</v>
      </c>
      <c r="CI4" s="1">
        <f t="shared" si="184"/>
        <v>-22.052923505280837</v>
      </c>
      <c r="CJ4" s="1">
        <f t="shared" si="184"/>
        <v>-16.785718085211808</v>
      </c>
      <c r="CK4" s="1">
        <f t="shared" si="184"/>
        <v>-9.708861846485112</v>
      </c>
      <c r="CL4" s="1">
        <f t="shared" si="184"/>
        <v>-2.7163285797880841</v>
      </c>
      <c r="CM4" s="1">
        <f t="shared" si="184"/>
        <v>2.5951811667759266</v>
      </c>
      <c r="CN4" s="1">
        <f t="shared" si="184"/>
        <v>5.4728203772762249</v>
      </c>
      <c r="CO4" s="1">
        <f t="shared" si="184"/>
        <v>6.2116570824604915</v>
      </c>
      <c r="CP4" s="1">
        <f t="shared" si="184"/>
        <v>5.9426128294352614</v>
      </c>
      <c r="CQ4" s="1">
        <f t="shared" si="184"/>
        <v>6.0937458855733153</v>
      </c>
      <c r="CR4" s="1">
        <f t="shared" si="184"/>
        <v>7.7420052840671945</v>
      </c>
      <c r="CS4" s="1">
        <f t="shared" si="184"/>
        <v>11.114936984896023</v>
      </c>
      <c r="CT4" s="1">
        <f t="shared" si="184"/>
        <v>15.442353462305832</v>
      </c>
      <c r="CU4" s="1">
        <f t="shared" si="184"/>
        <v>19.219983217152322</v>
      </c>
      <c r="CV4" s="1">
        <f t="shared" si="184"/>
        <v>20.784609690826521</v>
      </c>
      <c r="CW4" s="1">
        <f t="shared" si="184"/>
        <v>18.976800749424008</v>
      </c>
      <c r="CX4" s="1">
        <f t="shared" si="184"/>
        <v>13.631363102808823</v>
      </c>
      <c r="CY4" s="1">
        <f t="shared" si="184"/>
        <v>5.7013050168832375</v>
      </c>
      <c r="CZ4" s="1">
        <f t="shared" si="184"/>
        <v>-3.0371861738229367</v>
      </c>
      <c r="DA4" s="1">
        <f t="shared" si="184"/>
        <v>-10.588731521275058</v>
      </c>
      <c r="DB4" s="1">
        <f t="shared" si="184"/>
        <v>-15.421815783575902</v>
      </c>
      <c r="DC4" s="1">
        <f t="shared" si="184"/>
        <v>-16.970562748477125</v>
      </c>
      <c r="DD4" s="1">
        <f t="shared" si="184"/>
        <v>-15.765727727568695</v>
      </c>
      <c r="DE4" s="1">
        <f t="shared" si="184"/>
        <v>-13.149858649002672</v>
      </c>
      <c r="DF4" s="1">
        <f t="shared" si="184"/>
        <v>-10.693217924683086</v>
      </c>
      <c r="DG4" s="1">
        <f t="shared" si="184"/>
        <v>-9.5427737342811518</v>
      </c>
      <c r="DH4" s="1">
        <f t="shared" si="184"/>
        <v>-9.9612226999389879</v>
      </c>
      <c r="DI4" s="1">
        <f t="shared" si="184"/>
        <v>-11.237063947448179</v>
      </c>
      <c r="DJ4" s="1">
        <f t="shared" si="184"/>
        <v>-11.999999999999993</v>
      </c>
      <c r="DK4" s="1">
        <f t="shared" si="184"/>
        <v>-10.815859557832702</v>
      </c>
      <c r="DL4" s="1">
        <f t="shared" si="184"/>
        <v>-6.8244953852727566</v>
      </c>
      <c r="DM4" s="1">
        <f t="shared" si="184"/>
        <v>-0.16608811220403297</v>
      </c>
      <c r="DN4" s="1">
        <f t="shared" si="184"/>
        <v>7.9768893448950022</v>
      </c>
      <c r="DO4" s="1">
        <f t="shared" si="184"/>
        <v>15.745039815778604</v>
      </c>
      <c r="DP4" s="1">
        <f t="shared" si="184"/>
        <v>21.238548104844899</v>
      </c>
      <c r="DQ4" s="1">
        <f t="shared" si="184"/>
        <v>23.182219830937633</v>
      </c>
      <c r="DR4" s="1">
        <f t="shared" si="184"/>
        <v>21.364428613011114</v>
      </c>
      <c r="DS4" s="1">
        <f t="shared" si="184"/>
        <v>16.68247740684852</v>
      </c>
      <c r="DT4" s="1">
        <f t="shared" si="184"/>
        <v>10.779191457890194</v>
      </c>
      <c r="DU4" s="1">
        <f t="shared" si="184"/>
        <v>5.4136319680128162</v>
      </c>
      <c r="DV4" s="1">
        <f t="shared" si="184"/>
        <v>1.8109903594970458</v>
      </c>
      <c r="DW4" s="1">
        <f t="shared" si="184"/>
        <v>0.24318246772833785</v>
      </c>
      <c r="DX4" s="1">
        <f t="shared" si="184"/>
        <v>5.6843418860808015E-14</v>
      </c>
      <c r="DY4" s="1">
        <f t="shared" si="184"/>
        <v>-0.24318246772832985</v>
      </c>
      <c r="DZ4" s="1">
        <f t="shared" si="184"/>
        <v>-1.8109903594969783</v>
      </c>
      <c r="EA4" s="1">
        <f t="shared" ref="EA4:GL4" si="185">17*COS(EA3)+7*COS(17*EA3/7)</f>
        <v>-5.4136319680127203</v>
      </c>
      <c r="EB4" s="1">
        <f t="shared" si="185"/>
        <v>-10.779191457890033</v>
      </c>
      <c r="EC4" s="1">
        <f t="shared" si="185"/>
        <v>-16.682477406848456</v>
      </c>
      <c r="ED4" s="1">
        <f t="shared" si="185"/>
        <v>-21.364428613011135</v>
      </c>
      <c r="EE4" s="1">
        <f t="shared" si="185"/>
        <v>-23.182219830937626</v>
      </c>
      <c r="EF4" s="1">
        <f t="shared" si="185"/>
        <v>-21.238548104844909</v>
      </c>
      <c r="EG4" s="1">
        <f t="shared" si="185"/>
        <v>-15.745039815778696</v>
      </c>
      <c r="EH4" s="1">
        <f t="shared" si="185"/>
        <v>-7.9768893448949569</v>
      </c>
      <c r="EI4" s="1">
        <f t="shared" si="185"/>
        <v>0.16608811220407205</v>
      </c>
      <c r="EJ4" s="1">
        <f t="shared" si="185"/>
        <v>6.8244953852727201</v>
      </c>
      <c r="EK4" s="1">
        <f t="shared" si="185"/>
        <v>10.815859557832688</v>
      </c>
      <c r="EL4" s="1">
        <f t="shared" si="185"/>
        <v>12.000000000000068</v>
      </c>
      <c r="EM4" s="1">
        <f t="shared" si="185"/>
        <v>11.23706394744816</v>
      </c>
      <c r="EN4" s="1">
        <f t="shared" si="185"/>
        <v>9.9612226999390465</v>
      </c>
      <c r="EO4" s="1">
        <f t="shared" si="185"/>
        <v>9.5427737342811305</v>
      </c>
      <c r="EP4" s="1">
        <f t="shared" si="185"/>
        <v>10.693217924683054</v>
      </c>
      <c r="EQ4" s="1">
        <f t="shared" si="185"/>
        <v>13.149858649002784</v>
      </c>
      <c r="ER4" s="1">
        <f t="shared" si="185"/>
        <v>15.765727727568718</v>
      </c>
      <c r="ES4" s="1">
        <f t="shared" si="185"/>
        <v>16.970562748477079</v>
      </c>
      <c r="ET4" s="1">
        <f t="shared" si="185"/>
        <v>15.421815783575928</v>
      </c>
      <c r="EU4" s="1">
        <f t="shared" si="185"/>
        <v>10.588731521275179</v>
      </c>
      <c r="EV4" s="1">
        <f t="shared" si="185"/>
        <v>3.0371861738228927</v>
      </c>
      <c r="EW4" s="1">
        <f t="shared" si="185"/>
        <v>-5.7013050168832837</v>
      </c>
      <c r="EX4" s="1">
        <f t="shared" si="185"/>
        <v>-13.631363102808653</v>
      </c>
      <c r="EY4" s="1">
        <f t="shared" si="185"/>
        <v>-18.976800749423973</v>
      </c>
      <c r="EZ4" s="1">
        <f t="shared" si="185"/>
        <v>-20.784609690826535</v>
      </c>
      <c r="FA4" s="1">
        <f t="shared" si="185"/>
        <v>-19.219983217152297</v>
      </c>
      <c r="FB4" s="1">
        <f t="shared" si="185"/>
        <v>-15.442353462305753</v>
      </c>
      <c r="FC4" s="1">
        <f t="shared" si="185"/>
        <v>-11.114936984896044</v>
      </c>
      <c r="FD4" s="1">
        <f t="shared" si="185"/>
        <v>-7.7420052840672193</v>
      </c>
      <c r="FE4" s="1">
        <f t="shared" si="185"/>
        <v>-6.0937458855733357</v>
      </c>
      <c r="FF4" s="1">
        <f t="shared" si="185"/>
        <v>-5.9426128294352285</v>
      </c>
      <c r="FG4" s="1">
        <f t="shared" si="185"/>
        <v>-6.2116570824604578</v>
      </c>
      <c r="FH4" s="1">
        <f t="shared" si="185"/>
        <v>-5.4728203772762569</v>
      </c>
      <c r="FI4" s="1">
        <f t="shared" si="185"/>
        <v>-2.5951811667759683</v>
      </c>
      <c r="FJ4" s="1">
        <f t="shared" si="185"/>
        <v>2.7163285797880645</v>
      </c>
      <c r="FK4" s="1">
        <f t="shared" si="185"/>
        <v>9.708861846485199</v>
      </c>
      <c r="FL4" s="1">
        <f t="shared" si="185"/>
        <v>16.785718085211752</v>
      </c>
      <c r="FM4" s="1">
        <f t="shared" si="185"/>
        <v>22.052923505280784</v>
      </c>
      <c r="FN4" s="1">
        <f t="shared" si="185"/>
        <v>24</v>
      </c>
      <c r="FO4" s="1">
        <f t="shared" si="185"/>
        <v>22.052923505280834</v>
      </c>
      <c r="FP4" s="1">
        <f t="shared" si="185"/>
        <v>16.785718085211776</v>
      </c>
      <c r="FQ4" s="1">
        <f t="shared" si="185"/>
        <v>9.7088618464850214</v>
      </c>
      <c r="FR4" s="1">
        <f t="shared" si="185"/>
        <v>2.7163285797880903</v>
      </c>
      <c r="FS4" s="1">
        <f t="shared" si="185"/>
        <v>-2.5951811667759133</v>
      </c>
      <c r="FT4" s="1">
        <f t="shared" si="185"/>
        <v>-5.4728203772761725</v>
      </c>
      <c r="FU4" s="1">
        <f t="shared" si="185"/>
        <v>-6.2116570824605741</v>
      </c>
      <c r="FV4" s="1">
        <f t="shared" si="185"/>
        <v>-5.9426128294352321</v>
      </c>
      <c r="FW4" s="1">
        <f t="shared" si="185"/>
        <v>-6.0937458855733251</v>
      </c>
      <c r="FX4" s="1">
        <f t="shared" si="185"/>
        <v>-7.7420052840671865</v>
      </c>
      <c r="FY4" s="1">
        <f t="shared" si="185"/>
        <v>-11.114936984895992</v>
      </c>
      <c r="FZ4" s="1">
        <f t="shared" si="185"/>
        <v>-15.442353462305793</v>
      </c>
      <c r="GA4" s="1">
        <f t="shared" si="185"/>
        <v>-19.21998321715235</v>
      </c>
      <c r="GB4" s="1">
        <f t="shared" si="185"/>
        <v>-20.784609690826535</v>
      </c>
      <c r="GC4" s="1">
        <f t="shared" si="185"/>
        <v>-18.976800749424012</v>
      </c>
      <c r="GD4" s="1">
        <f t="shared" si="185"/>
        <v>-13.631363102808809</v>
      </c>
      <c r="GE4" s="1">
        <f t="shared" si="185"/>
        <v>-5.7013050168831825</v>
      </c>
      <c r="GF4" s="1">
        <f t="shared" si="185"/>
        <v>3.0371861738227817</v>
      </c>
      <c r="GG4" s="1">
        <f t="shared" si="185"/>
        <v>10.588731521275047</v>
      </c>
      <c r="GH4" s="1">
        <f t="shared" si="185"/>
        <v>15.421815783575887</v>
      </c>
      <c r="GI4" s="1">
        <f t="shared" si="185"/>
        <v>16.97056274847715</v>
      </c>
      <c r="GJ4" s="1">
        <f t="shared" si="185"/>
        <v>15.76572772756861</v>
      </c>
      <c r="GK4" s="1">
        <f t="shared" si="185"/>
        <v>13.149858649002732</v>
      </c>
      <c r="GL4" s="1">
        <f t="shared" si="185"/>
        <v>10.693217924683037</v>
      </c>
      <c r="GM4" s="1">
        <f t="shared" ref="GM4:GT4" si="186">17*COS(GM3)+7*COS(17*GM3/7)</f>
        <v>9.5427737342811376</v>
      </c>
      <c r="GN4" s="1">
        <f t="shared" si="186"/>
        <v>9.9612226999389719</v>
      </c>
      <c r="GO4" s="1">
        <f t="shared" si="186"/>
        <v>11.237063947448158</v>
      </c>
      <c r="GP4" s="1">
        <f t="shared" si="186"/>
        <v>11.999999999999982</v>
      </c>
      <c r="GQ4" s="1">
        <f t="shared" si="186"/>
        <v>10.81585955783272</v>
      </c>
      <c r="GR4" s="1">
        <f t="shared" si="186"/>
        <v>6.824495385272769</v>
      </c>
      <c r="GS4" s="1">
        <f t="shared" si="186"/>
        <v>0.16608811220398056</v>
      </c>
      <c r="GT4" s="1">
        <f t="shared" si="186"/>
        <v>-7.9768893448949463</v>
      </c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</row>
    <row r="5" spans="1:220" x14ac:dyDescent="0.25">
      <c r="A5" s="1" t="s">
        <v>3</v>
      </c>
      <c r="B5" s="1">
        <f>17*SIN(B3)+7*SIN(17*B3/7)</f>
        <v>0</v>
      </c>
      <c r="C5" s="1">
        <f t="shared" ref="C5:BN5" si="187">17*SIN(C3)+7*SIN(17*C3/7)</f>
        <v>8.5566650657573646</v>
      </c>
      <c r="D5" s="1">
        <f t="shared" si="187"/>
        <v>15.189009640502983</v>
      </c>
      <c r="E5" s="1">
        <f t="shared" si="187"/>
        <v>18.627998592329881</v>
      </c>
      <c r="F5" s="1">
        <f t="shared" si="187"/>
        <v>18.665672270780814</v>
      </c>
      <c r="G5" s="1">
        <f t="shared" si="187"/>
        <v>16.15900068697988</v>
      </c>
      <c r="H5" s="1">
        <f t="shared" si="187"/>
        <v>12.635571386988863</v>
      </c>
      <c r="I5" s="1">
        <f t="shared" si="187"/>
        <v>9.6592582628906829</v>
      </c>
      <c r="J5" s="1">
        <f t="shared" si="187"/>
        <v>8.2063156238260273</v>
      </c>
      <c r="K5" s="1">
        <f t="shared" si="187"/>
        <v>8.296590744563952</v>
      </c>
      <c r="L5" s="1">
        <f t="shared" si="187"/>
        <v>9.0231106551049685</v>
      </c>
      <c r="M5" s="1">
        <f t="shared" si="187"/>
        <v>8.9659356456897026</v>
      </c>
      <c r="N5" s="1">
        <f t="shared" si="187"/>
        <v>6.8244953852727681</v>
      </c>
      <c r="O5" s="1">
        <f t="shared" si="187"/>
        <v>2.0160120243469795</v>
      </c>
      <c r="P5" s="1">
        <f t="shared" si="187"/>
        <v>-5.0000000000000036</v>
      </c>
      <c r="Q5" s="1">
        <f t="shared" si="187"/>
        <v>-12.804566612894465</v>
      </c>
      <c r="R5" s="1">
        <f t="shared" si="187"/>
        <v>-19.483641028731881</v>
      </c>
      <c r="S5" s="1">
        <f t="shared" si="187"/>
        <v>-23.29870435954718</v>
      </c>
      <c r="T5" s="1">
        <f t="shared" si="187"/>
        <v>-23.306782075316935</v>
      </c>
      <c r="U5" s="1">
        <f t="shared" si="187"/>
        <v>-19.691619444825612</v>
      </c>
      <c r="V5" s="1">
        <f t="shared" si="187"/>
        <v>-13.679136001102234</v>
      </c>
      <c r="W5" s="1">
        <f t="shared" si="187"/>
        <v>-7.0710678118654844</v>
      </c>
      <c r="X5" s="1">
        <f t="shared" si="187"/>
        <v>-1.5781842164241082</v>
      </c>
      <c r="Y5" s="1">
        <f t="shared" si="187"/>
        <v>1.7888839877894203</v>
      </c>
      <c r="Z5" s="1">
        <f t="shared" si="187"/>
        <v>3.0371861738228954</v>
      </c>
      <c r="AA5" s="1">
        <f t="shared" si="187"/>
        <v>3.0985425166024436</v>
      </c>
      <c r="AB5" s="1">
        <f t="shared" si="187"/>
        <v>3.368636897191216</v>
      </c>
      <c r="AC5" s="1">
        <f t="shared" si="187"/>
        <v>5.0648298109186092</v>
      </c>
      <c r="AD5" s="1">
        <f t="shared" si="187"/>
        <v>8.6602540378443926</v>
      </c>
      <c r="AE5" s="1">
        <f t="shared" si="187"/>
        <v>13.621494876675968</v>
      </c>
      <c r="AF5" s="1">
        <f t="shared" si="187"/>
        <v>18.557646537694207</v>
      </c>
      <c r="AG5" s="1">
        <f t="shared" si="187"/>
        <v>21.726541108932334</v>
      </c>
      <c r="AH5" s="1">
        <f t="shared" si="187"/>
        <v>21.702858444603727</v>
      </c>
      <c r="AI5" s="1">
        <f t="shared" si="187"/>
        <v>17.947884674769291</v>
      </c>
      <c r="AJ5" s="1">
        <f t="shared" si="187"/>
        <v>11.057387170564748</v>
      </c>
      <c r="AK5" s="1">
        <f t="shared" si="187"/>
        <v>2.5881904510252278</v>
      </c>
      <c r="AL5" s="1">
        <f t="shared" si="187"/>
        <v>-5.4728203772761983</v>
      </c>
      <c r="AM5" s="1">
        <f t="shared" si="187"/>
        <v>-11.395028700261632</v>
      </c>
      <c r="AN5" s="1">
        <f t="shared" si="187"/>
        <v>-14.283671420211965</v>
      </c>
      <c r="AO5" s="1">
        <f t="shared" si="187"/>
        <v>-14.332768713857472</v>
      </c>
      <c r="AP5" s="1">
        <f t="shared" si="187"/>
        <v>-12.659145643459128</v>
      </c>
      <c r="AQ5" s="1">
        <f t="shared" si="187"/>
        <v>-10.788554588547473</v>
      </c>
      <c r="AR5" s="1">
        <f t="shared" si="187"/>
        <v>-10</v>
      </c>
      <c r="AS5" s="1">
        <f t="shared" si="187"/>
        <v>-10.788554588547482</v>
      </c>
      <c r="AT5" s="1">
        <f t="shared" si="187"/>
        <v>-12.659145643459121</v>
      </c>
      <c r="AU5" s="1">
        <f t="shared" si="187"/>
        <v>-14.332768713857472</v>
      </c>
      <c r="AV5" s="1">
        <f t="shared" si="187"/>
        <v>-14.283671420211956</v>
      </c>
      <c r="AW5" s="1">
        <f t="shared" si="187"/>
        <v>-11.395028700261646</v>
      </c>
      <c r="AX5" s="1">
        <f t="shared" si="187"/>
        <v>-5.4728203772762063</v>
      </c>
      <c r="AY5" s="1">
        <f t="shared" si="187"/>
        <v>2.5881904510251768</v>
      </c>
      <c r="AZ5" s="1">
        <f t="shared" si="187"/>
        <v>11.057387170564745</v>
      </c>
      <c r="BA5" s="1">
        <f t="shared" si="187"/>
        <v>17.947884674769305</v>
      </c>
      <c r="BB5" s="1">
        <f t="shared" si="187"/>
        <v>21.70285844460372</v>
      </c>
      <c r="BC5" s="1">
        <f t="shared" si="187"/>
        <v>21.726541108932338</v>
      </c>
      <c r="BD5" s="1">
        <f t="shared" si="187"/>
        <v>18.557646537694222</v>
      </c>
      <c r="BE5" s="1">
        <f t="shared" si="187"/>
        <v>13.621494876676007</v>
      </c>
      <c r="BF5" s="1">
        <f t="shared" si="187"/>
        <v>8.6602540378443784</v>
      </c>
      <c r="BG5" s="1">
        <f t="shared" si="187"/>
        <v>5.0648298109186074</v>
      </c>
      <c r="BH5" s="1">
        <f t="shared" si="187"/>
        <v>3.3686368971912062</v>
      </c>
      <c r="BI5" s="1">
        <f t="shared" si="187"/>
        <v>3.09854251660248</v>
      </c>
      <c r="BJ5" s="1">
        <f t="shared" si="187"/>
        <v>3.0371861738229304</v>
      </c>
      <c r="BK5" s="1">
        <f t="shared" si="187"/>
        <v>1.7888839877894096</v>
      </c>
      <c r="BL5" s="1">
        <f t="shared" si="187"/>
        <v>-1.5781842164240816</v>
      </c>
      <c r="BM5" s="1">
        <f t="shared" si="187"/>
        <v>-7.0710678118655013</v>
      </c>
      <c r="BN5" s="1">
        <f t="shared" si="187"/>
        <v>-13.679136001102192</v>
      </c>
      <c r="BO5" s="1">
        <f t="shared" ref="BO5:DZ5" si="188">17*SIN(BO3)+7*SIN(17*BO3/7)</f>
        <v>-19.691619444825562</v>
      </c>
      <c r="BP5" s="1">
        <f t="shared" si="188"/>
        <v>-23.306782075316935</v>
      </c>
      <c r="BQ5" s="1">
        <f t="shared" si="188"/>
        <v>-23.298704359547184</v>
      </c>
      <c r="BR5" s="1">
        <f t="shared" si="188"/>
        <v>-19.483641028731867</v>
      </c>
      <c r="BS5" s="1">
        <f t="shared" si="188"/>
        <v>-12.804566612894464</v>
      </c>
      <c r="BT5" s="1">
        <f t="shared" si="188"/>
        <v>-5.0000000000000373</v>
      </c>
      <c r="BU5" s="1">
        <f t="shared" si="188"/>
        <v>2.0160120243470017</v>
      </c>
      <c r="BV5" s="1">
        <f t="shared" si="188"/>
        <v>6.8244953852727548</v>
      </c>
      <c r="BW5" s="1">
        <f t="shared" si="188"/>
        <v>8.9659356456896937</v>
      </c>
      <c r="BX5" s="1">
        <f t="shared" si="188"/>
        <v>9.0231106551049844</v>
      </c>
      <c r="BY5" s="1">
        <f t="shared" si="188"/>
        <v>8.2965907445639484</v>
      </c>
      <c r="BZ5" s="1">
        <f t="shared" si="188"/>
        <v>8.2063156238260309</v>
      </c>
      <c r="CA5" s="1">
        <f t="shared" si="188"/>
        <v>9.6592582628906776</v>
      </c>
      <c r="CB5" s="1">
        <f t="shared" si="188"/>
        <v>12.635571386988882</v>
      </c>
      <c r="CC5" s="1">
        <f t="shared" si="188"/>
        <v>16.159000686979848</v>
      </c>
      <c r="CD5" s="1">
        <f t="shared" si="188"/>
        <v>18.66567227078081</v>
      </c>
      <c r="CE5" s="1">
        <f t="shared" si="188"/>
        <v>18.627998592329899</v>
      </c>
      <c r="CF5" s="1">
        <f t="shared" si="188"/>
        <v>15.189009640502981</v>
      </c>
      <c r="CG5" s="1">
        <f t="shared" si="188"/>
        <v>8.5566650657573682</v>
      </c>
      <c r="CH5" s="1">
        <f t="shared" si="188"/>
        <v>5.4027528978428663E-14</v>
      </c>
      <c r="CI5" s="1">
        <f t="shared" si="188"/>
        <v>-8.5566650657573753</v>
      </c>
      <c r="CJ5" s="1">
        <f t="shared" si="188"/>
        <v>-15.18900964050296</v>
      </c>
      <c r="CK5" s="1">
        <f t="shared" si="188"/>
        <v>-18.627998592329874</v>
      </c>
      <c r="CL5" s="1">
        <f t="shared" si="188"/>
        <v>-18.665672270780821</v>
      </c>
      <c r="CM5" s="1">
        <f t="shared" si="188"/>
        <v>-16.159000686979869</v>
      </c>
      <c r="CN5" s="1">
        <f t="shared" si="188"/>
        <v>-12.635571386988868</v>
      </c>
      <c r="CO5" s="1">
        <f t="shared" si="188"/>
        <v>-9.6592582628906936</v>
      </c>
      <c r="CP5" s="1">
        <f t="shared" si="188"/>
        <v>-8.2063156238260166</v>
      </c>
      <c r="CQ5" s="1">
        <f t="shared" si="188"/>
        <v>-8.2965907445639449</v>
      </c>
      <c r="CR5" s="1">
        <f t="shared" si="188"/>
        <v>-9.0231106551049791</v>
      </c>
      <c r="CS5" s="1">
        <f t="shared" si="188"/>
        <v>-8.965935645689715</v>
      </c>
      <c r="CT5" s="1">
        <f t="shared" si="188"/>
        <v>-6.8244953852727894</v>
      </c>
      <c r="CU5" s="1">
        <f t="shared" si="188"/>
        <v>-2.016012024346983</v>
      </c>
      <c r="CV5" s="1">
        <f t="shared" si="188"/>
        <v>4.999999999999944</v>
      </c>
      <c r="CW5" s="1">
        <f t="shared" si="188"/>
        <v>12.804566612894464</v>
      </c>
      <c r="CX5" s="1">
        <f t="shared" si="188"/>
        <v>19.483641028731867</v>
      </c>
      <c r="CY5" s="1">
        <f t="shared" si="188"/>
        <v>23.29870435954718</v>
      </c>
      <c r="CZ5" s="1">
        <f t="shared" si="188"/>
        <v>23.306782075316924</v>
      </c>
      <c r="DA5" s="1">
        <f t="shared" si="188"/>
        <v>19.691619444825683</v>
      </c>
      <c r="DB5" s="1">
        <f t="shared" si="188"/>
        <v>13.679136001102236</v>
      </c>
      <c r="DC5" s="1">
        <f t="shared" si="188"/>
        <v>7.0710678118655075</v>
      </c>
      <c r="DD5" s="1">
        <f t="shared" si="188"/>
        <v>1.5781842164241109</v>
      </c>
      <c r="DE5" s="1">
        <f t="shared" si="188"/>
        <v>-1.7888839877894007</v>
      </c>
      <c r="DF5" s="1">
        <f t="shared" si="188"/>
        <v>-3.0371861738229273</v>
      </c>
      <c r="DG5" s="1">
        <f t="shared" si="188"/>
        <v>-3.0985425166024125</v>
      </c>
      <c r="DH5" s="1">
        <f t="shared" si="188"/>
        <v>-3.3686368971912355</v>
      </c>
      <c r="DI5" s="1">
        <f t="shared" si="188"/>
        <v>-5.0648298109186047</v>
      </c>
      <c r="DJ5" s="1">
        <f t="shared" si="188"/>
        <v>-8.6602540378444033</v>
      </c>
      <c r="DK5" s="1">
        <f t="shared" si="188"/>
        <v>-13.621494876675973</v>
      </c>
      <c r="DL5" s="1">
        <f t="shared" si="188"/>
        <v>-18.557646537694193</v>
      </c>
      <c r="DM5" s="1">
        <f t="shared" si="188"/>
        <v>-21.726541108932327</v>
      </c>
      <c r="DN5" s="1">
        <f t="shared" si="188"/>
        <v>-21.702858444603716</v>
      </c>
      <c r="DO5" s="1">
        <f t="shared" si="188"/>
        <v>-17.947884674769345</v>
      </c>
      <c r="DP5" s="1">
        <f t="shared" si="188"/>
        <v>-11.057387170564727</v>
      </c>
      <c r="DQ5" s="1">
        <f t="shared" si="188"/>
        <v>-2.588190451025155</v>
      </c>
      <c r="DR5" s="1">
        <f t="shared" si="188"/>
        <v>5.4728203772762063</v>
      </c>
      <c r="DS5" s="1">
        <f t="shared" si="188"/>
        <v>11.395028700261644</v>
      </c>
      <c r="DT5" s="1">
        <f t="shared" si="188"/>
        <v>14.283671420211988</v>
      </c>
      <c r="DU5" s="1">
        <f t="shared" si="188"/>
        <v>14.332768713857527</v>
      </c>
      <c r="DV5" s="1">
        <f t="shared" si="188"/>
        <v>12.659145643459119</v>
      </c>
      <c r="DW5" s="1">
        <f t="shared" si="188"/>
        <v>10.788554588547493</v>
      </c>
      <c r="DX5" s="1">
        <f t="shared" si="188"/>
        <v>10</v>
      </c>
      <c r="DY5" s="1">
        <f t="shared" si="188"/>
        <v>10.788554588547505</v>
      </c>
      <c r="DZ5" s="1">
        <f t="shared" si="188"/>
        <v>12.659145643459107</v>
      </c>
      <c r="EA5" s="1">
        <f t="shared" ref="EA5:GL5" si="189">17*SIN(EA3)+7*SIN(17*EA3/7)</f>
        <v>14.332768713857536</v>
      </c>
      <c r="EB5" s="1">
        <f t="shared" si="189"/>
        <v>14.283671420211931</v>
      </c>
      <c r="EC5" s="1">
        <f t="shared" si="189"/>
        <v>11.39502870026163</v>
      </c>
      <c r="ED5" s="1">
        <f t="shared" si="189"/>
        <v>5.4728203772761699</v>
      </c>
      <c r="EE5" s="1">
        <f t="shared" si="189"/>
        <v>-2.5881904510250466</v>
      </c>
      <c r="EF5" s="1">
        <f t="shared" si="189"/>
        <v>-11.05738717056472</v>
      </c>
      <c r="EG5" s="1">
        <f t="shared" si="189"/>
        <v>-17.947884674769277</v>
      </c>
      <c r="EH5" s="1">
        <f t="shared" si="189"/>
        <v>-21.70285844460372</v>
      </c>
      <c r="EI5" s="1">
        <f t="shared" si="189"/>
        <v>-21.726541108932309</v>
      </c>
      <c r="EJ5" s="1">
        <f t="shared" si="189"/>
        <v>-18.557646537694165</v>
      </c>
      <c r="EK5" s="1">
        <f t="shared" si="189"/>
        <v>-13.621494876676046</v>
      </c>
      <c r="EL5" s="1">
        <f t="shared" si="189"/>
        <v>-8.6602540378444317</v>
      </c>
      <c r="EM5" s="1">
        <f t="shared" si="189"/>
        <v>-5.0648298109185959</v>
      </c>
      <c r="EN5" s="1">
        <f t="shared" si="189"/>
        <v>-3.3686368971911742</v>
      </c>
      <c r="EO5" s="1">
        <f t="shared" si="189"/>
        <v>-3.0985425166024854</v>
      </c>
      <c r="EP5" s="1">
        <f t="shared" si="189"/>
        <v>-3.0371861738229091</v>
      </c>
      <c r="EQ5" s="1">
        <f t="shared" si="189"/>
        <v>-1.788883987789446</v>
      </c>
      <c r="ER5" s="1">
        <f t="shared" si="189"/>
        <v>1.5781842164241295</v>
      </c>
      <c r="ES5" s="1">
        <f t="shared" si="189"/>
        <v>7.0710678118653139</v>
      </c>
      <c r="ET5" s="1">
        <f t="shared" si="189"/>
        <v>13.679136001102146</v>
      </c>
      <c r="EU5" s="1">
        <f t="shared" si="189"/>
        <v>19.691619444825523</v>
      </c>
      <c r="EV5" s="1">
        <f t="shared" si="189"/>
        <v>23.306782075316939</v>
      </c>
      <c r="EW5" s="1">
        <f t="shared" si="189"/>
        <v>23.29870435954717</v>
      </c>
      <c r="EX5" s="1">
        <f t="shared" si="189"/>
        <v>19.483641028732006</v>
      </c>
      <c r="EY5" s="1">
        <f t="shared" si="189"/>
        <v>12.804566612894513</v>
      </c>
      <c r="EZ5" s="1">
        <f t="shared" si="189"/>
        <v>5.0000000000000409</v>
      </c>
      <c r="FA5" s="1">
        <f t="shared" si="189"/>
        <v>-2.0160120243470123</v>
      </c>
      <c r="FB5" s="1">
        <f t="shared" si="189"/>
        <v>-6.8244953852727885</v>
      </c>
      <c r="FC5" s="1">
        <f t="shared" si="189"/>
        <v>-8.9659356456896866</v>
      </c>
      <c r="FD5" s="1">
        <f t="shared" si="189"/>
        <v>-9.0231106551050111</v>
      </c>
      <c r="FE5" s="1">
        <f t="shared" si="189"/>
        <v>-8.2965907445639289</v>
      </c>
      <c r="FF5" s="1">
        <f t="shared" si="189"/>
        <v>-8.2063156238260326</v>
      </c>
      <c r="FG5" s="1">
        <f t="shared" si="189"/>
        <v>-9.6592582628906918</v>
      </c>
      <c r="FH5" s="1">
        <f t="shared" si="189"/>
        <v>-12.635571386988854</v>
      </c>
      <c r="FI5" s="1">
        <f t="shared" si="189"/>
        <v>-16.159000686979862</v>
      </c>
      <c r="FJ5" s="1">
        <f t="shared" si="189"/>
        <v>-18.665672270780867</v>
      </c>
      <c r="FK5" s="1">
        <f t="shared" si="189"/>
        <v>-18.627998592329885</v>
      </c>
      <c r="FL5" s="1">
        <f t="shared" si="189"/>
        <v>-15.189009640502967</v>
      </c>
      <c r="FM5" s="1">
        <f t="shared" si="189"/>
        <v>-8.5566650657574712</v>
      </c>
      <c r="FN5" s="1">
        <f t="shared" si="189"/>
        <v>-1.0805505795685733E-13</v>
      </c>
      <c r="FO5" s="1">
        <f t="shared" si="189"/>
        <v>8.5566650657573682</v>
      </c>
      <c r="FP5" s="1">
        <f t="shared" si="189"/>
        <v>15.189009640503004</v>
      </c>
      <c r="FQ5" s="1">
        <f t="shared" si="189"/>
        <v>18.627998592329885</v>
      </c>
      <c r="FR5" s="1">
        <f t="shared" si="189"/>
        <v>18.665672270780803</v>
      </c>
      <c r="FS5" s="1">
        <f t="shared" si="189"/>
        <v>16.159000686979905</v>
      </c>
      <c r="FT5" s="1">
        <f t="shared" si="189"/>
        <v>12.63557138698882</v>
      </c>
      <c r="FU5" s="1">
        <f t="shared" si="189"/>
        <v>9.6592582628906882</v>
      </c>
      <c r="FV5" s="1">
        <f t="shared" si="189"/>
        <v>8.2063156238260397</v>
      </c>
      <c r="FW5" s="1">
        <f t="shared" si="189"/>
        <v>8.2965907445639218</v>
      </c>
      <c r="FX5" s="1">
        <f t="shared" si="189"/>
        <v>9.023110655105004</v>
      </c>
      <c r="FY5" s="1">
        <f t="shared" si="189"/>
        <v>8.9659356456897008</v>
      </c>
      <c r="FZ5" s="1">
        <f t="shared" si="189"/>
        <v>6.8244953852727344</v>
      </c>
      <c r="GA5" s="1">
        <f t="shared" si="189"/>
        <v>2.0160120243470514</v>
      </c>
      <c r="GB5" s="1">
        <f t="shared" si="189"/>
        <v>-4.9999999999999405</v>
      </c>
      <c r="GC5" s="1">
        <f t="shared" si="189"/>
        <v>-12.804566612894511</v>
      </c>
      <c r="GD5" s="1">
        <f t="shared" si="189"/>
        <v>-19.483641028731864</v>
      </c>
      <c r="GE5" s="1">
        <f t="shared" si="189"/>
        <v>-23.298704359547195</v>
      </c>
      <c r="GF5" s="1">
        <f t="shared" si="189"/>
        <v>-23.306782075316963</v>
      </c>
      <c r="GG5" s="1">
        <f t="shared" si="189"/>
        <v>-19.691619444825676</v>
      </c>
      <c r="GH5" s="1">
        <f t="shared" si="189"/>
        <v>-13.679136001102234</v>
      </c>
      <c r="GI5" s="1">
        <f t="shared" si="189"/>
        <v>-7.0710678118654666</v>
      </c>
      <c r="GJ5" s="1">
        <f t="shared" si="189"/>
        <v>-1.5781842164240549</v>
      </c>
      <c r="GK5" s="1">
        <f t="shared" si="189"/>
        <v>1.7888839877893696</v>
      </c>
      <c r="GL5" s="1">
        <f t="shared" si="189"/>
        <v>3.0371861738228141</v>
      </c>
      <c r="GM5" s="1">
        <f t="shared" ref="GM5:GT5" si="190">17*SIN(GM3)+7*SIN(17*GM3/7)</f>
        <v>3.0985425166024854</v>
      </c>
      <c r="GN5" s="1">
        <f t="shared" si="190"/>
        <v>3.3686368971912675</v>
      </c>
      <c r="GO5" s="1">
        <f t="shared" si="190"/>
        <v>5.0648298109186349</v>
      </c>
      <c r="GP5" s="1">
        <f t="shared" si="190"/>
        <v>8.6602540378443216</v>
      </c>
      <c r="GQ5" s="1">
        <f t="shared" si="190"/>
        <v>13.621494876675978</v>
      </c>
      <c r="GR5" s="1">
        <f t="shared" si="190"/>
        <v>18.557646537694204</v>
      </c>
      <c r="GS5" s="1">
        <f t="shared" si="190"/>
        <v>21.726541108932324</v>
      </c>
      <c r="GT5" s="1">
        <f t="shared" si="190"/>
        <v>21.702858444603756</v>
      </c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</row>
    <row r="7" spans="1:220" x14ac:dyDescent="0.25">
      <c r="A7" t="s">
        <v>16</v>
      </c>
    </row>
    <row r="8" spans="1:220" x14ac:dyDescent="0.25">
      <c r="A8" t="s">
        <v>15</v>
      </c>
    </row>
    <row r="9" spans="1:220" x14ac:dyDescent="0.25">
      <c r="A9" s="1" t="s">
        <v>2</v>
      </c>
      <c r="B9" s="3">
        <v>0.62</v>
      </c>
      <c r="C9" s="3">
        <v>0.4</v>
      </c>
      <c r="D9" s="3">
        <v>0.73</v>
      </c>
      <c r="E9" s="3">
        <v>0.62</v>
      </c>
      <c r="F9" s="3">
        <v>0.12</v>
      </c>
      <c r="G9" s="3">
        <v>-1.06</v>
      </c>
      <c r="H9" s="3">
        <v>1.19</v>
      </c>
      <c r="I9" s="3">
        <v>-1.08</v>
      </c>
      <c r="J9" s="3">
        <v>7.0000000000000007E-2</v>
      </c>
      <c r="K9" s="3">
        <v>0.48</v>
      </c>
      <c r="L9" s="3">
        <v>0</v>
      </c>
      <c r="M9" s="3">
        <v>0.62</v>
      </c>
      <c r="N9" s="3">
        <v>0</v>
      </c>
      <c r="O9" s="3">
        <v>0</v>
      </c>
      <c r="P9" s="3">
        <v>-1</v>
      </c>
      <c r="Q9" s="3">
        <v>-0.4</v>
      </c>
      <c r="R9" s="3">
        <v>0</v>
      </c>
      <c r="S9" s="3">
        <v>1.19</v>
      </c>
      <c r="T9" s="3">
        <v>-0.64</v>
      </c>
      <c r="U9" s="3">
        <v>-0.98</v>
      </c>
      <c r="V9" s="3">
        <v>-0.39</v>
      </c>
    </row>
    <row r="10" spans="1:220" x14ac:dyDescent="0.25">
      <c r="A10" s="1" t="s">
        <v>3</v>
      </c>
      <c r="B10" s="3">
        <v>-0.48</v>
      </c>
      <c r="C10" s="3">
        <v>-1.64</v>
      </c>
      <c r="D10" s="3">
        <v>-1.1599999999999999</v>
      </c>
      <c r="E10" s="3">
        <v>-0.48</v>
      </c>
      <c r="F10" s="3">
        <v>-1.37</v>
      </c>
      <c r="G10" s="3">
        <v>-1.88</v>
      </c>
      <c r="H10" s="3">
        <v>0</v>
      </c>
      <c r="I10" s="3">
        <v>1.8</v>
      </c>
      <c r="J10" s="3">
        <v>1.36</v>
      </c>
      <c r="K10" s="3">
        <v>0.56999999999999995</v>
      </c>
      <c r="L10" s="3">
        <v>0</v>
      </c>
      <c r="M10" s="3">
        <v>-0.48</v>
      </c>
      <c r="N10" s="3">
        <v>-1</v>
      </c>
      <c r="O10" s="3">
        <v>0.94</v>
      </c>
      <c r="P10" s="3">
        <v>-0.65</v>
      </c>
      <c r="Q10" s="3">
        <v>-0.36</v>
      </c>
      <c r="R10" s="3">
        <v>-1</v>
      </c>
      <c r="S10" s="3">
        <v>0</v>
      </c>
      <c r="T10" s="3">
        <v>0</v>
      </c>
      <c r="U10" s="3">
        <v>0.56000000000000005</v>
      </c>
      <c r="V10" s="3">
        <v>0.32</v>
      </c>
    </row>
    <row r="11" spans="1:220" x14ac:dyDescent="0.25">
      <c r="A11" s="1">
        <v>1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</row>
    <row r="13" spans="1:220" x14ac:dyDescent="0.25">
      <c r="A13" s="1" t="s">
        <v>4</v>
      </c>
      <c r="B13" s="1">
        <v>5</v>
      </c>
      <c r="C13" s="1"/>
      <c r="D13" s="1" t="s">
        <v>5</v>
      </c>
      <c r="E13" s="1">
        <f ca="1">E13+B13</f>
        <v>23240</v>
      </c>
      <c r="F13" s="1"/>
      <c r="G13" s="1" t="s">
        <v>6</v>
      </c>
      <c r="H13" s="1">
        <f ca="1">RADIANS(E13)</f>
        <v>405.61451816348216</v>
      </c>
    </row>
    <row r="15" spans="1:220" x14ac:dyDescent="0.25">
      <c r="D15" s="1" t="s">
        <v>7</v>
      </c>
      <c r="E15" s="1">
        <f ca="1">17*COS(H13)+7*COS(17*H13/7)</f>
        <v>-14.759237309692528</v>
      </c>
      <c r="H15" t="s">
        <v>14</v>
      </c>
    </row>
    <row r="16" spans="1:220" x14ac:dyDescent="0.25">
      <c r="D16" s="1" t="s">
        <v>8</v>
      </c>
      <c r="E16" s="1">
        <f ca="1">17*SIN(H13)+7*SIN(17*H13/7)</f>
        <v>-12.707996707621351</v>
      </c>
      <c r="H16" s="1">
        <f ca="1">COS(E19)</f>
        <v>0.78183148246802847</v>
      </c>
      <c r="I16" s="1">
        <f ca="1">-SIN(E19)</f>
        <v>0.62348980185873526</v>
      </c>
      <c r="J16" s="1">
        <f ca="1">E15</f>
        <v>-14.759237309692528</v>
      </c>
    </row>
    <row r="17" spans="1:22" x14ac:dyDescent="0.25">
      <c r="D17" s="1" t="s">
        <v>9</v>
      </c>
      <c r="E17" s="1">
        <f ca="1">-17*SIN(H13)-17*SIN(17*H13/7)</f>
        <v>22.556074237743534</v>
      </c>
      <c r="H17" s="1">
        <f ca="1">SIN(E19)</f>
        <v>-0.62348980185873526</v>
      </c>
      <c r="I17" s="1">
        <f ca="1">COS(E19)</f>
        <v>0.78183148246802847</v>
      </c>
      <c r="J17" s="1">
        <f ca="1">E16</f>
        <v>-12.707996707621351</v>
      </c>
    </row>
    <row r="18" spans="1:22" x14ac:dyDescent="0.25">
      <c r="D18" s="1" t="s">
        <v>10</v>
      </c>
      <c r="E18" s="1">
        <f ca="1">17*COS(H13)+17*COS(17*H13/7)</f>
        <v>-13.022755533023798</v>
      </c>
      <c r="H18" s="1">
        <v>0</v>
      </c>
      <c r="I18" s="1">
        <v>0</v>
      </c>
      <c r="J18" s="1">
        <v>1</v>
      </c>
    </row>
    <row r="19" spans="1:22" x14ac:dyDescent="0.25">
      <c r="D19" s="1" t="s">
        <v>11</v>
      </c>
      <c r="E19" s="1">
        <f ca="1">ATAN2(E17,E18)</f>
        <v>-0.523598775598345</v>
      </c>
    </row>
    <row r="21" spans="1:22" x14ac:dyDescent="0.25">
      <c r="A21" s="1" t="s">
        <v>12</v>
      </c>
      <c r="B21" s="1">
        <f t="array" aca="1" ref="B21:V23" ca="1">MMULT(H16:J18,B9:V11)</f>
        <v>-14.573776895454543</v>
      </c>
      <c r="C21" s="1">
        <f ca="1"/>
        <v>-15.469027991753643</v>
      </c>
      <c r="D21" s="1">
        <f ca="1"/>
        <v>-14.911748497647</v>
      </c>
      <c r="E21" s="1">
        <f ca="1"/>
        <v>-14.573776895454543</v>
      </c>
      <c r="F21" s="1">
        <f ca="1"/>
        <v>-15.519598560342832</v>
      </c>
      <c r="G21" s="1">
        <f ca="1"/>
        <v>-16.760139508603061</v>
      </c>
      <c r="H21" s="1">
        <f ca="1"/>
        <v>-13.828857845555575</v>
      </c>
      <c r="I21" s="1">
        <f ca="1"/>
        <v>-14.481333667412276</v>
      </c>
      <c r="J21" s="1">
        <f ca="1"/>
        <v>-13.856562975391887</v>
      </c>
      <c r="K21" s="1">
        <f ca="1"/>
        <v>-14.028569011048395</v>
      </c>
      <c r="L21" s="1">
        <f ca="1"/>
        <v>-14.759237309692528</v>
      </c>
      <c r="M21" s="1">
        <f ca="1"/>
        <v>-14.573776895454543</v>
      </c>
      <c r="N21" s="1">
        <f ca="1"/>
        <v>-15.382727111551263</v>
      </c>
      <c r="O21" s="1">
        <f ca="1"/>
        <v>-14.173156895945317</v>
      </c>
      <c r="P21" s="1">
        <f ca="1"/>
        <v>-15.946337163368735</v>
      </c>
      <c r="Q21" s="1">
        <f ca="1"/>
        <v>-15.296426231348885</v>
      </c>
      <c r="R21" s="1">
        <f ca="1"/>
        <v>-15.382727111551263</v>
      </c>
      <c r="S21" s="1">
        <f ca="1"/>
        <v>-13.828857845555575</v>
      </c>
      <c r="T21" s="1">
        <f ca="1"/>
        <v>-15.259609458472067</v>
      </c>
      <c r="U21" s="1">
        <f ca="1"/>
        <v>-15.176277873470305</v>
      </c>
      <c r="V21" s="1">
        <f ca="1"/>
        <v>-14.864634851260265</v>
      </c>
    </row>
    <row r="22" spans="1:22" x14ac:dyDescent="0.25">
      <c r="A22" s="1" t="s">
        <v>13</v>
      </c>
      <c r="B22" s="1">
        <f ca="1"/>
        <v>-13.469839496358421</v>
      </c>
      <c r="C22" s="1">
        <f ca="1"/>
        <v>-14.239596259612412</v>
      </c>
      <c r="D22" s="1">
        <f ca="1"/>
        <v>-14.07006878264114</v>
      </c>
      <c r="E22" s="1">
        <f ca="1"/>
        <v>-13.469839496358421</v>
      </c>
      <c r="F22" s="1">
        <f ca="1"/>
        <v>-13.853924614825598</v>
      </c>
      <c r="G22" s="1">
        <f ca="1"/>
        <v>-13.516940704690985</v>
      </c>
      <c r="H22" s="1">
        <f ca="1"/>
        <v>-13.449949571833246</v>
      </c>
      <c r="I22" s="1">
        <f ca="1"/>
        <v>-10.627331053171467</v>
      </c>
      <c r="J22" s="1">
        <f ca="1"/>
        <v>-11.688350177594945</v>
      </c>
      <c r="K22" s="1">
        <f ca="1"/>
        <v>-12.561627867506768</v>
      </c>
      <c r="L22" s="1">
        <f ca="1"/>
        <v>-12.707996707621351</v>
      </c>
      <c r="M22" s="1">
        <f ca="1"/>
        <v>-13.469839496358421</v>
      </c>
      <c r="N22" s="1">
        <f ca="1"/>
        <v>-13.48982819008938</v>
      </c>
      <c r="O22" s="1">
        <f ca="1"/>
        <v>-11.973075114101405</v>
      </c>
      <c r="P22" s="1">
        <f ca="1"/>
        <v>-12.592697369366835</v>
      </c>
      <c r="Q22" s="1">
        <f ca="1"/>
        <v>-12.740060120566348</v>
      </c>
      <c r="R22" s="1">
        <f ca="1"/>
        <v>-13.48982819008938</v>
      </c>
      <c r="S22" s="1">
        <f ca="1"/>
        <v>-13.449949571833246</v>
      </c>
      <c r="T22" s="1">
        <f ca="1"/>
        <v>-12.308963234431761</v>
      </c>
      <c r="U22" s="1">
        <f ca="1"/>
        <v>-11.659151071617694</v>
      </c>
      <c r="V22" s="1">
        <f ca="1"/>
        <v>-12.214649610506676</v>
      </c>
    </row>
    <row r="23" spans="1:22" x14ac:dyDescent="0.25">
      <c r="A23" s="1">
        <v>1</v>
      </c>
      <c r="B23" s="1">
        <f ca="1"/>
        <v>1</v>
      </c>
      <c r="C23" s="1">
        <f ca="1"/>
        <v>1</v>
      </c>
      <c r="D23" s="1">
        <f ca="1"/>
        <v>1</v>
      </c>
      <c r="E23" s="1">
        <f ca="1"/>
        <v>1</v>
      </c>
      <c r="F23" s="1">
        <f ca="1"/>
        <v>1</v>
      </c>
      <c r="G23" s="1">
        <f ca="1"/>
        <v>1</v>
      </c>
      <c r="H23" s="1">
        <f ca="1"/>
        <v>1</v>
      </c>
      <c r="I23" s="1">
        <f ca="1"/>
        <v>1</v>
      </c>
      <c r="J23" s="1">
        <f ca="1"/>
        <v>1</v>
      </c>
      <c r="K23" s="1">
        <f ca="1"/>
        <v>1</v>
      </c>
      <c r="L23" s="1">
        <f ca="1"/>
        <v>1</v>
      </c>
      <c r="M23" s="1">
        <f ca="1"/>
        <v>1</v>
      </c>
      <c r="N23" s="1">
        <f ca="1"/>
        <v>1</v>
      </c>
      <c r="O23" s="1">
        <f ca="1"/>
        <v>1</v>
      </c>
      <c r="P23" s="1">
        <f ca="1"/>
        <v>1</v>
      </c>
      <c r="Q23" s="1">
        <f ca="1"/>
        <v>1</v>
      </c>
      <c r="R23" s="1">
        <f ca="1"/>
        <v>1</v>
      </c>
      <c r="S23" s="1">
        <f ca="1"/>
        <v>1</v>
      </c>
      <c r="T23" s="1">
        <f ca="1"/>
        <v>1</v>
      </c>
      <c r="U23" s="1">
        <f ca="1"/>
        <v>1</v>
      </c>
      <c r="V23" s="1">
        <f ca="1"/>
        <v>1</v>
      </c>
    </row>
    <row r="46" spans="27:27" x14ac:dyDescent="0.25">
      <c r="AA46" t="s">
        <v>17</v>
      </c>
    </row>
  </sheetData>
  <pageMargins left="0.23622047244094491" right="0.23622047244094491" top="0.74803149606299213" bottom="0.74803149606299213" header="0.31496062992125984" footer="0.31496062992125984"/>
  <pageSetup scale="9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5906BB224DD84786065DAC83D2E2EB" ma:contentTypeVersion="2" ma:contentTypeDescription="Crear nuevo documento." ma:contentTypeScope="" ma:versionID="cb403a85c2dccfd42b95e807ee62c6f4">
  <xsd:schema xmlns:xsd="http://www.w3.org/2001/XMLSchema" xmlns:xs="http://www.w3.org/2001/XMLSchema" xmlns:p="http://schemas.microsoft.com/office/2006/metadata/properties" xmlns:ns2="b638294b-30a7-4651-b529-0b38b77b35a1" targetNamespace="http://schemas.microsoft.com/office/2006/metadata/properties" ma:root="true" ma:fieldsID="392ca321889257e4f4ed245cafbf9984" ns2:_="">
    <xsd:import namespace="b638294b-30a7-4651-b529-0b38b77b35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8294b-30a7-4651-b529-0b38b77b35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163BB9-E3CB-43DB-A449-00E6A44916F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D6E072B-A979-4F29-9799-E866C53A31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8294b-30a7-4651-b529-0b38b77b35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1FC670-A72F-4F13-9A48-724B5E9E06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</dc:creator>
  <cp:lastModifiedBy>chedraui</cp:lastModifiedBy>
  <cp:lastPrinted>2022-03-23T16:56:40Z</cp:lastPrinted>
  <dcterms:created xsi:type="dcterms:W3CDTF">2020-03-25T17:56:37Z</dcterms:created>
  <dcterms:modified xsi:type="dcterms:W3CDTF">2024-02-04T21:27:07Z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0x010100215906BB224DD84786065DAC83D2E2EB</vt:lpwstr>
  </property>
</Properties>
</file>