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Martinez Lorenzo Luis Ángel-192H17120\Unidad ll\"/>
    </mc:Choice>
  </mc:AlternateContent>
  <bookViews>
    <workbookView xWindow="-120" yWindow="-120" windowWidth="20640" windowHeight="11160" firstSheet="1"/>
  </bookViews>
  <sheets>
    <sheet name="Translación" sheetId="1" r:id="rId1"/>
    <sheet name="Eslacación" sheetId="2" r:id="rId2"/>
    <sheet name="Rotación" sheetId="3" r:id="rId3"/>
    <sheet name="Hoja4" sheetId="4" r:id="rId4"/>
    <sheet name="Hoja5" sheetId="5" r:id="rId5"/>
    <sheet name="Hoja5 (2)" sheetId="8" r:id="rId6"/>
    <sheet name="Hoja1" sheetId="9" r:id="rId7"/>
    <sheet name="Hoja2" sheetId="10" r:id="rId8"/>
    <sheet name="Hoja3" sheetId="11" r:id="rId9"/>
    <sheet name="Hoja6" sheetId="12" r:id="rId10"/>
    <sheet name="Hoja7" sheetId="13" r:id="rId11"/>
  </sheets>
  <calcPr calcId="152511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3" l="1"/>
  <c r="B5" i="13" s="1"/>
  <c r="C2" i="13"/>
  <c r="C3" i="13" s="1"/>
  <c r="F5" i="12"/>
  <c r="J5" i="12"/>
  <c r="N5" i="12"/>
  <c r="R5" i="12"/>
  <c r="V5" i="12"/>
  <c r="Z5" i="12"/>
  <c r="E4" i="12"/>
  <c r="I4" i="12"/>
  <c r="M4" i="12"/>
  <c r="Q4" i="12"/>
  <c r="U4" i="12"/>
  <c r="Y4" i="12"/>
  <c r="C3" i="12"/>
  <c r="C5" i="12" s="1"/>
  <c r="D3" i="12"/>
  <c r="D5" i="12" s="1"/>
  <c r="E3" i="12"/>
  <c r="E5" i="12" s="1"/>
  <c r="F3" i="12"/>
  <c r="F4" i="12" s="1"/>
  <c r="G3" i="12"/>
  <c r="G5" i="12" s="1"/>
  <c r="H3" i="12"/>
  <c r="H5" i="12" s="1"/>
  <c r="I3" i="12"/>
  <c r="I5" i="12" s="1"/>
  <c r="J3" i="12"/>
  <c r="J4" i="12" s="1"/>
  <c r="K3" i="12"/>
  <c r="K5" i="12" s="1"/>
  <c r="L3" i="12"/>
  <c r="L5" i="12" s="1"/>
  <c r="M3" i="12"/>
  <c r="M5" i="12" s="1"/>
  <c r="N3" i="12"/>
  <c r="N4" i="12" s="1"/>
  <c r="O3" i="12"/>
  <c r="O5" i="12" s="1"/>
  <c r="P3" i="12"/>
  <c r="P5" i="12" s="1"/>
  <c r="Q3" i="12"/>
  <c r="Q5" i="12" s="1"/>
  <c r="R3" i="12"/>
  <c r="R4" i="12" s="1"/>
  <c r="S3" i="12"/>
  <c r="S5" i="12" s="1"/>
  <c r="T3" i="12"/>
  <c r="T5" i="12" s="1"/>
  <c r="U3" i="12"/>
  <c r="U5" i="12" s="1"/>
  <c r="V3" i="12"/>
  <c r="V4" i="12" s="1"/>
  <c r="W3" i="12"/>
  <c r="W5" i="12" s="1"/>
  <c r="X3" i="12"/>
  <c r="X5" i="12" s="1"/>
  <c r="Y3" i="12"/>
  <c r="Y5" i="12" s="1"/>
  <c r="Z3" i="12"/>
  <c r="Z4" i="12" s="1"/>
  <c r="B3" i="12"/>
  <c r="B5" i="12" s="1"/>
  <c r="D2" i="13" l="1"/>
  <c r="C4" i="13"/>
  <c r="C5" i="13"/>
  <c r="B4" i="13"/>
  <c r="X4" i="12"/>
  <c r="T4" i="12"/>
  <c r="P4" i="12"/>
  <c r="L4" i="12"/>
  <c r="H4" i="12"/>
  <c r="D4" i="12"/>
  <c r="B4" i="12"/>
  <c r="W4" i="12"/>
  <c r="S4" i="12"/>
  <c r="O4" i="12"/>
  <c r="K4" i="12"/>
  <c r="G4" i="12"/>
  <c r="C4" i="12"/>
  <c r="I5" i="9" a="1"/>
  <c r="I5" i="9" s="1"/>
  <c r="E9" i="8"/>
  <c r="F9" i="8"/>
  <c r="E10" i="8"/>
  <c r="F10" i="8"/>
  <c r="E11" i="8"/>
  <c r="F11" i="8"/>
  <c r="E12" i="8"/>
  <c r="F12" i="8"/>
  <c r="E13" i="8"/>
  <c r="F13" i="8"/>
  <c r="E14" i="8"/>
  <c r="F14" i="8"/>
  <c r="E15" i="8"/>
  <c r="F15" i="8"/>
  <c r="E16" i="8"/>
  <c r="F16" i="8"/>
  <c r="E17" i="8"/>
  <c r="F17" i="8"/>
  <c r="E18" i="8"/>
  <c r="F18" i="8"/>
  <c r="D3" i="13" l="1"/>
  <c r="E2" i="13"/>
  <c r="Q6" i="9"/>
  <c r="M6" i="9"/>
  <c r="I6" i="9"/>
  <c r="O5" i="9"/>
  <c r="K5" i="9"/>
  <c r="N6" i="9"/>
  <c r="J6" i="9"/>
  <c r="L5" i="9"/>
  <c r="P6" i="9"/>
  <c r="L6" i="9"/>
  <c r="R5" i="9"/>
  <c r="N5" i="9"/>
  <c r="J5" i="9"/>
  <c r="R6" i="9"/>
  <c r="P5" i="9"/>
  <c r="O6" i="9"/>
  <c r="K6" i="9"/>
  <c r="Q5" i="9"/>
  <c r="M5" i="9"/>
  <c r="I4" i="2"/>
  <c r="I5" i="2"/>
  <c r="I3" i="2"/>
  <c r="I2" i="2"/>
  <c r="H5" i="2"/>
  <c r="H4" i="2"/>
  <c r="H3" i="2"/>
  <c r="H2" i="2"/>
  <c r="I5" i="1"/>
  <c r="H5" i="1"/>
  <c r="H4" i="1"/>
  <c r="I4" i="1"/>
  <c r="I3" i="1"/>
  <c r="H3" i="1"/>
  <c r="I2" i="1"/>
  <c r="H2" i="1"/>
  <c r="E3" i="13" l="1"/>
  <c r="F2" i="13"/>
  <c r="D5" i="13"/>
  <c r="D4" i="13"/>
  <c r="G2" i="13" l="1"/>
  <c r="F3" i="13"/>
  <c r="E4" i="13"/>
  <c r="E5" i="13"/>
  <c r="F4" i="13" l="1"/>
  <c r="F5" i="13"/>
  <c r="H2" i="13"/>
  <c r="G3" i="13"/>
  <c r="H3" i="13" l="1"/>
  <c r="I2" i="13"/>
  <c r="G5" i="13"/>
  <c r="G4" i="13"/>
  <c r="I3" i="13" l="1"/>
  <c r="J2" i="13"/>
  <c r="H5" i="13"/>
  <c r="H4" i="13"/>
  <c r="K2" i="13" l="1"/>
  <c r="J3" i="13"/>
  <c r="I5" i="13"/>
  <c r="I4" i="13"/>
  <c r="J4" i="13" l="1"/>
  <c r="J5" i="13"/>
  <c r="L2" i="13"/>
  <c r="K3" i="13"/>
  <c r="K5" i="13" l="1"/>
  <c r="K4" i="13"/>
  <c r="L3" i="13"/>
  <c r="M2" i="13"/>
  <c r="M3" i="13" l="1"/>
  <c r="N2" i="13"/>
  <c r="L5" i="13"/>
  <c r="L4" i="13"/>
  <c r="O2" i="13" l="1"/>
  <c r="N3" i="13"/>
  <c r="M4" i="13"/>
  <c r="M5" i="13"/>
  <c r="N4" i="13" l="1"/>
  <c r="N5" i="13"/>
  <c r="P2" i="13"/>
  <c r="O3" i="13"/>
  <c r="P3" i="13" l="1"/>
  <c r="Q2" i="13"/>
  <c r="O5" i="13"/>
  <c r="O4" i="13"/>
  <c r="Q3" i="13" l="1"/>
  <c r="R2" i="13"/>
  <c r="R3" i="13" s="1"/>
  <c r="P5" i="13"/>
  <c r="P4" i="13"/>
  <c r="R4" i="13" l="1"/>
  <c r="R5" i="13"/>
  <c r="Q4" i="13"/>
  <c r="Q5" i="13"/>
  <c r="S2" i="13"/>
  <c r="S3" i="13" l="1"/>
  <c r="T2" i="13"/>
  <c r="S4" i="13" l="1"/>
  <c r="S5" i="13"/>
  <c r="T3" i="13"/>
  <c r="U2" i="13"/>
  <c r="U3" i="13" l="1"/>
  <c r="V2" i="13"/>
  <c r="T4" i="13"/>
  <c r="T5" i="13"/>
  <c r="W2" i="13" l="1"/>
  <c r="V3" i="13"/>
  <c r="U5" i="13"/>
  <c r="U4" i="13"/>
  <c r="V5" i="13" l="1"/>
  <c r="V4" i="13"/>
  <c r="W3" i="13"/>
  <c r="X2" i="13"/>
  <c r="X3" i="13" l="1"/>
  <c r="Y2" i="13"/>
  <c r="W4" i="13"/>
  <c r="W5" i="13"/>
  <c r="Y3" i="13" l="1"/>
  <c r="Z2" i="13"/>
  <c r="Z3" i="13" s="1"/>
  <c r="X4" i="13"/>
  <c r="X5" i="13"/>
  <c r="Z5" i="13" l="1"/>
  <c r="Z4" i="13"/>
  <c r="Y5" i="13"/>
  <c r="Y4" i="13"/>
  <c r="I8" i="9" a="1"/>
  <c r="I8" i="9"/>
  <c r="J8" i="9"/>
  <c r="K8" i="9"/>
  <c r="L8" i="9"/>
  <c r="M8" i="9"/>
  <c r="N8" i="9"/>
  <c r="O8" i="9"/>
  <c r="P8" i="9"/>
  <c r="Q8" i="9"/>
  <c r="R8" i="9"/>
  <c r="B9" i="9"/>
  <c r="I9" i="9"/>
  <c r="J9" i="9"/>
  <c r="K9" i="9"/>
  <c r="L9" i="9"/>
  <c r="M9" i="9"/>
  <c r="N9" i="9"/>
  <c r="O9" i="9"/>
  <c r="P9" i="9"/>
  <c r="Q9" i="9"/>
  <c r="R9" i="9"/>
  <c r="B10" i="9"/>
  <c r="I11" i="9" a="1"/>
  <c r="I11" i="9"/>
  <c r="J11" i="9"/>
  <c r="K11" i="9"/>
  <c r="L11" i="9"/>
  <c r="M11" i="9"/>
  <c r="N11" i="9"/>
  <c r="O11" i="9"/>
  <c r="P11" i="9"/>
  <c r="Q11" i="9"/>
  <c r="R11" i="9"/>
  <c r="I12" i="9"/>
  <c r="J12" i="9"/>
  <c r="K12" i="9"/>
  <c r="L12" i="9"/>
  <c r="M12" i="9"/>
  <c r="N12" i="9"/>
  <c r="O12" i="9"/>
  <c r="P12" i="9"/>
  <c r="Q12" i="9"/>
  <c r="R12" i="9"/>
  <c r="A14" i="9"/>
  <c r="B14" i="9"/>
  <c r="A15" i="9"/>
  <c r="B15" i="9"/>
  <c r="F4" i="10"/>
  <c r="F5" i="10"/>
  <c r="E9" i="10"/>
  <c r="F9" i="10"/>
  <c r="E10" i="10"/>
  <c r="F10" i="10"/>
  <c r="E11" i="10"/>
  <c r="F11" i="10"/>
  <c r="E12" i="10"/>
  <c r="F12" i="10"/>
  <c r="E13" i="10"/>
  <c r="F13" i="10"/>
  <c r="E14" i="10"/>
  <c r="F14" i="10"/>
  <c r="E15" i="10"/>
  <c r="F15" i="10"/>
  <c r="E16" i="10"/>
  <c r="F16" i="10"/>
  <c r="E17" i="10"/>
  <c r="F17" i="10"/>
  <c r="E18" i="10"/>
  <c r="F18" i="10"/>
  <c r="J2" i="11"/>
  <c r="K2" i="11"/>
  <c r="I4" i="11"/>
  <c r="J4" i="11"/>
  <c r="I5" i="11"/>
  <c r="J5" i="11"/>
  <c r="I6" i="11"/>
  <c r="J6" i="11"/>
  <c r="I9" i="11" a="1"/>
  <c r="I9" i="11"/>
  <c r="J9" i="11"/>
  <c r="K9" i="11"/>
  <c r="I10" i="11"/>
  <c r="J10" i="11"/>
  <c r="K10" i="11"/>
  <c r="I11" i="11"/>
  <c r="J11" i="11"/>
  <c r="K11" i="11"/>
  <c r="I12" i="11"/>
  <c r="J12" i="11"/>
  <c r="K12" i="11"/>
  <c r="I13" i="11"/>
  <c r="J13" i="11"/>
  <c r="K13" i="11"/>
  <c r="I14" i="11"/>
  <c r="J14" i="11"/>
  <c r="K14" i="11"/>
  <c r="I15" i="11"/>
  <c r="J15" i="11"/>
  <c r="K15" i="11"/>
  <c r="I16" i="11"/>
  <c r="J16" i="11"/>
  <c r="K16" i="11"/>
  <c r="I17" i="11"/>
  <c r="J17" i="11"/>
  <c r="K17" i="11"/>
  <c r="I18" i="11"/>
  <c r="J18" i="11"/>
  <c r="K18" i="11"/>
  <c r="E2" i="4"/>
  <c r="F2" i="4"/>
  <c r="H2" i="4"/>
  <c r="I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E2" i="5"/>
  <c r="F2" i="5"/>
  <c r="H2" i="5"/>
  <c r="I2" i="5"/>
  <c r="H3" i="5"/>
  <c r="I3" i="5"/>
  <c r="H4" i="5"/>
  <c r="I4" i="5"/>
  <c r="H5" i="5"/>
  <c r="I5" i="5"/>
  <c r="H6" i="5"/>
  <c r="I6" i="5"/>
  <c r="H7" i="5"/>
  <c r="I7" i="5"/>
  <c r="H8" i="5"/>
  <c r="I8" i="5"/>
  <c r="H9" i="5"/>
  <c r="I9" i="5"/>
  <c r="H10" i="5"/>
  <c r="I10" i="5"/>
  <c r="H11" i="5"/>
  <c r="I11" i="5"/>
  <c r="E2" i="8"/>
  <c r="F2" i="8"/>
  <c r="G3" i="8"/>
  <c r="H3" i="8"/>
  <c r="G4" i="8"/>
  <c r="H4" i="8"/>
  <c r="H9" i="8" a="1"/>
  <c r="H9" i="8"/>
  <c r="I9" i="8"/>
  <c r="K9" i="8" a="1"/>
  <c r="K9" i="8"/>
  <c r="L9" i="8"/>
  <c r="H10" i="8"/>
  <c r="I10" i="8"/>
  <c r="K10" i="8"/>
  <c r="L10" i="8"/>
  <c r="H11" i="8"/>
  <c r="I11" i="8"/>
  <c r="K11" i="8"/>
  <c r="L11" i="8"/>
  <c r="H12" i="8"/>
  <c r="I12" i="8"/>
  <c r="K12" i="8"/>
  <c r="L12" i="8"/>
  <c r="H13" i="8"/>
  <c r="I13" i="8"/>
  <c r="K13" i="8"/>
  <c r="L13" i="8"/>
  <c r="H14" i="8"/>
  <c r="I14" i="8"/>
  <c r="K14" i="8"/>
  <c r="L14" i="8"/>
  <c r="H15" i="8"/>
  <c r="I15" i="8"/>
  <c r="K15" i="8"/>
  <c r="L15" i="8"/>
  <c r="H16" i="8"/>
  <c r="I16" i="8"/>
  <c r="K16" i="8"/>
  <c r="L16" i="8"/>
  <c r="H17" i="8"/>
  <c r="I17" i="8"/>
  <c r="K17" i="8"/>
  <c r="L17" i="8"/>
  <c r="H18" i="8"/>
  <c r="I18" i="8"/>
  <c r="K18" i="8"/>
  <c r="L18" i="8"/>
  <c r="B13" i="12"/>
  <c r="B14" i="12"/>
  <c r="B16" i="12"/>
  <c r="B17" i="12"/>
  <c r="C20" i="12"/>
  <c r="C21" i="12"/>
  <c r="B24" i="12" a="1"/>
  <c r="B24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B25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B8" i="13"/>
  <c r="B9" i="13"/>
  <c r="B11" i="13"/>
  <c r="B12" i="13"/>
  <c r="D12" i="13"/>
  <c r="E12" i="13"/>
  <c r="F12" i="13"/>
  <c r="B13" i="13"/>
  <c r="D13" i="13"/>
  <c r="E13" i="13"/>
  <c r="F13" i="13"/>
  <c r="E16" i="13" a="1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E2" i="3"/>
  <c r="F2" i="3"/>
  <c r="H2" i="3"/>
  <c r="I2" i="3"/>
  <c r="H3" i="3"/>
  <c r="I3" i="3"/>
  <c r="H4" i="3"/>
  <c r="I4" i="3"/>
  <c r="H5" i="3"/>
  <c r="I5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<sst xmlns="http://schemas.openxmlformats.org/spreadsheetml/2006/main" count="262" uniqueCount="65">
  <si>
    <t>X</t>
  </si>
  <si>
    <t>Y</t>
  </si>
  <si>
    <t>A</t>
  </si>
  <si>
    <t>B</t>
  </si>
  <si>
    <t>C</t>
  </si>
  <si>
    <t>Tx</t>
  </si>
  <si>
    <t>Ty</t>
  </si>
  <si>
    <t>x'</t>
  </si>
  <si>
    <t>y'</t>
  </si>
  <si>
    <t>Sx</t>
  </si>
  <si>
    <t>Sy</t>
  </si>
  <si>
    <t>+</t>
  </si>
  <si>
    <t>-</t>
  </si>
  <si>
    <t>Sx&gt;SY</t>
  </si>
  <si>
    <t>Sy&gt;Sx</t>
  </si>
  <si>
    <t>0&lt;Sx&lt;1</t>
  </si>
  <si>
    <t>valor</t>
  </si>
  <si>
    <t>Valor</t>
  </si>
  <si>
    <t>0&lt;Sy&lt;1</t>
  </si>
  <si>
    <t>Ang</t>
  </si>
  <si>
    <t>Rad</t>
  </si>
  <si>
    <t>Incremento</t>
  </si>
  <si>
    <t>x</t>
  </si>
  <si>
    <t>y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</si>
  <si>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</si>
  <si>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</si>
  <si>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</si>
  <si>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</si>
  <si>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</si>
  <si>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</si>
  <si>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</si>
  <si>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</si>
  <si>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</si>
  <si>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</si>
  <si>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</si>
  <si>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</si>
  <si>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</si>
  <si>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</si>
  <si>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Fx</t>
  </si>
  <si>
    <t>Fy</t>
  </si>
  <si>
    <t>TRASLADAR</t>
  </si>
  <si>
    <t>Matriz Rotación</t>
  </si>
  <si>
    <t>x''</t>
  </si>
  <si>
    <t>y''</t>
  </si>
  <si>
    <t>x'''</t>
  </si>
  <si>
    <t>y'''</t>
  </si>
  <si>
    <t>inc</t>
  </si>
  <si>
    <t>ang</t>
  </si>
  <si>
    <t>rad</t>
  </si>
  <si>
    <t>Matriz Rotacion</t>
  </si>
  <si>
    <t>Rotación</t>
  </si>
  <si>
    <t>Traslación</t>
  </si>
  <si>
    <t>Xr</t>
  </si>
  <si>
    <t>Tr</t>
  </si>
  <si>
    <t xml:space="preserve">Ty </t>
  </si>
  <si>
    <t>MatrizRotaciónPF</t>
  </si>
  <si>
    <t>r</t>
  </si>
  <si>
    <t>and</t>
  </si>
  <si>
    <t>Matris Traslacion</t>
  </si>
  <si>
    <t>a</t>
  </si>
  <si>
    <t>t</t>
  </si>
  <si>
    <t>Inc</t>
  </si>
  <si>
    <t>Dx</t>
  </si>
  <si>
    <t>Matriz de resultante</t>
  </si>
  <si>
    <t>Giro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</si>
</sst>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0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0" fillId="2" borderId="0" xfId="0" applyFill="1"/>
    <xf numFmtId="1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Translación!$B$2:$B$5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</c:numCache>
            </c:numRef>
          </c:xVal>
          <c:yVal>
            <c:numRef>
              <c:f>Translación!$C$2:$C$5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FE7-4650-A57B-B55D06C7F974}"/>
            </c:ext>
          </c:extLst>
        </c:ser>
        <c:ser>
          <c:idx val="1"/>
          <c:order val="1"/>
          <c:tx>
            <c:v>Transformacion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Translación!$H$2:$H$5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</c:numCache>
            </c:numRef>
          </c:xVal>
          <c:yVal>
            <c:numRef>
              <c:f>Translación!$I$2:$I$5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FE7-4650-A57B-B55D06C7F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083256"/>
        <c:axId val="209081296"/>
      </c:scatterChart>
      <c:valAx>
        <c:axId val="209083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9081296"/>
        <c:crosses val="autoZero"/>
        <c:crossBetween val="midCat"/>
      </c:valAx>
      <c:valAx>
        <c:axId val="20908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9083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Eslacación!$B$2:$B$5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</c:numCache>
            </c:numRef>
          </c:xVal>
          <c:yVal>
            <c:numRef>
              <c:f>Eslacación!$C$2:$C$5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336-4085-B3E3-6FEBEA8AF3A0}"/>
            </c:ext>
          </c:extLst>
        </c:ser>
        <c:ser>
          <c:idx val="1"/>
          <c:order val="1"/>
          <c:tx>
            <c:v>Transformacion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Eslacación!$H$2:$H$5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1.5</c:v>
                </c:pt>
                <c:pt idx="3">
                  <c:v>1</c:v>
                </c:pt>
              </c:numCache>
            </c:numRef>
          </c:xVal>
          <c:yVal>
            <c:numRef>
              <c:f>Eslacación!$I$2:$I$5</c:f>
              <c:numCache>
                <c:formatCode>General</c:formatCode>
                <c:ptCount val="4"/>
                <c:pt idx="0">
                  <c:v>1.5</c:v>
                </c:pt>
                <c:pt idx="1">
                  <c:v>0.5</c:v>
                </c:pt>
                <c:pt idx="2">
                  <c:v>0.5</c:v>
                </c:pt>
                <c:pt idx="3">
                  <c:v>1.5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336-4085-B3E3-6FEBEA8AF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321720"/>
        <c:axId val="250325640"/>
      </c:scatterChart>
      <c:valAx>
        <c:axId val="250321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325640"/>
        <c:crosses val="autoZero"/>
        <c:crossBetween val="midCat"/>
      </c:valAx>
      <c:valAx>
        <c:axId val="25032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321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Rotación!$B$2:$B$5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</c:numCache>
            </c:numRef>
          </c:xVal>
          <c:yVal>
            <c:numRef>
              <c:f>Rotación!$C$2:$C$5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05F-403D-94CE-C98BDCBA6411}"/>
            </c:ext>
          </c:extLst>
        </c:ser>
        <c:ser>
          <c:idx val="1"/>
          <c:order val="1"/>
          <c:tx>
            <c:v>Transformacion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Rotación!$H$2:$H$5</c:f>
              <c:numCache>
                <c:formatCode>0.00</c:formatCode>
                <c:ptCount val="4"/>
                <c:pt idx="0">
                  <c:v>-1.4486709730236247</c:v>
                </c:pt>
                <c:pt idx="1">
                  <c:v>-0.81115957534527761</c:v>
                </c:pt>
                <c:pt idx="2">
                  <c:v>-2.7807750813696934</c:v>
                </c:pt>
                <c:pt idx="3">
                  <c:v>-1.4486709730236247</c:v>
                </c:pt>
              </c:numCache>
            </c:numRef>
          </c:xVal>
          <c:yVal>
            <c:numRef>
              <c:f>Rotación!$I$2:$I$5</c:f>
              <c:numCache>
                <c:formatCode>0.00</c:formatCode>
                <c:ptCount val="4"/>
                <c:pt idx="0">
                  <c:v>-3.301719614370485</c:v>
                </c:pt>
                <c:pt idx="1">
                  <c:v>-1.1584559306791384</c:v>
                </c:pt>
                <c:pt idx="2">
                  <c:v>-1.5057522860129993</c:v>
                </c:pt>
                <c:pt idx="3">
                  <c:v>-3.301719614370485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05F-403D-94CE-C98BDCBA6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322504"/>
        <c:axId val="250322112"/>
      </c:scatterChart>
      <c:valAx>
        <c:axId val="250322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322112"/>
        <c:crosses val="autoZero"/>
        <c:crossBetween val="midCat"/>
      </c:valAx>
      <c:valAx>
        <c:axId val="25032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322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Hoja4!$B$2:$B$8</c:f>
              <c:numCache>
                <c:formatCode>General</c:formatCode>
                <c:ptCount val="7"/>
                <c:pt idx="0">
                  <c:v>-2</c:v>
                </c:pt>
                <c:pt idx="1">
                  <c:v>-2</c:v>
                </c:pt>
                <c:pt idx="2">
                  <c:v>2</c:v>
                </c:pt>
                <c:pt idx="3">
                  <c:v>2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</c:numCache>
            </c:numRef>
          </c:xVal>
          <c:yVal>
            <c:numRef>
              <c:f>Hoja4!$C$2:$C$8</c:f>
              <c:numCache>
                <c:formatCode>General</c:formatCode>
                <c:ptCount val="7"/>
                <c:pt idx="0">
                  <c:v>-2</c:v>
                </c:pt>
                <c:pt idx="1">
                  <c:v>-5</c:v>
                </c:pt>
                <c:pt idx="2">
                  <c:v>-5</c:v>
                </c:pt>
                <c:pt idx="3">
                  <c:v>-2</c:v>
                </c:pt>
                <c:pt idx="4">
                  <c:v>-2</c:v>
                </c:pt>
                <c:pt idx="5">
                  <c:v>0</c:v>
                </c:pt>
                <c:pt idx="6">
                  <c:v>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FD6-4FB0-9E00-03F6C66B07B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Hoja4!$H$2:$H$6</c:f>
              <c:numCache>
                <c:formatCode>0.00</c:formatCode>
                <c:ptCount val="5"/>
                <c:pt idx="0">
                  <c:v>-1.0669872981077813</c:v>
                </c:pt>
                <c:pt idx="1">
                  <c:v>1.9330127018922196</c:v>
                </c:pt>
                <c:pt idx="2">
                  <c:v>1.0669872981077813</c:v>
                </c:pt>
                <c:pt idx="3">
                  <c:v>-1.9330127018922196</c:v>
                </c:pt>
                <c:pt idx="4">
                  <c:v>-1.0669872981077813</c:v>
                </c:pt>
              </c:numCache>
            </c:numRef>
          </c:xVal>
          <c:yVal>
            <c:numRef>
              <c:f>Hoja4!$I$2:$I$6</c:f>
              <c:numCache>
                <c:formatCode>0.00</c:formatCode>
                <c:ptCount val="5"/>
                <c:pt idx="0">
                  <c:v>-2.848076211353316</c:v>
                </c:pt>
                <c:pt idx="1">
                  <c:v>2.348076211353316</c:v>
                </c:pt>
                <c:pt idx="2">
                  <c:v>2.848076211353316</c:v>
                </c:pt>
                <c:pt idx="3">
                  <c:v>-2.348076211353316</c:v>
                </c:pt>
                <c:pt idx="4">
                  <c:v>-2.848076211353316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FD6-4FB0-9E00-03F6C66B07B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Hoja4!$H$7:$H$11</c:f>
              <c:numCache>
                <c:formatCode>0.00</c:formatCode>
                <c:ptCount val="5"/>
                <c:pt idx="0">
                  <c:v>2.348076211353316</c:v>
                </c:pt>
                <c:pt idx="1">
                  <c:v>2.848076211353316</c:v>
                </c:pt>
                <c:pt idx="2">
                  <c:v>-2.348076211353316</c:v>
                </c:pt>
                <c:pt idx="3">
                  <c:v>-2.848076211353316</c:v>
                </c:pt>
                <c:pt idx="4">
                  <c:v>2.348076211353316</c:v>
                </c:pt>
              </c:numCache>
            </c:numRef>
          </c:xVal>
          <c:yVal>
            <c:numRef>
              <c:f>Hoja4!$I$7:$I$11</c:f>
              <c:numCache>
                <c:formatCode>0.00</c:formatCode>
                <c:ptCount val="5"/>
                <c:pt idx="0">
                  <c:v>-1.9330127018922196</c:v>
                </c:pt>
                <c:pt idx="1">
                  <c:v>-1.0669872981077813</c:v>
                </c:pt>
                <c:pt idx="2">
                  <c:v>1.9330127018922196</c:v>
                </c:pt>
                <c:pt idx="3">
                  <c:v>1.0669872981077813</c:v>
                </c:pt>
                <c:pt idx="4">
                  <c:v>-1.9330127018922196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FD6-4FB0-9E00-03F6C66B0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324464"/>
        <c:axId val="250324856"/>
      </c:scatterChart>
      <c:valAx>
        <c:axId val="250324464"/>
        <c:scaling>
          <c:orientation val="minMax"/>
          <c:max val="4"/>
          <c:min val="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324856"/>
        <c:crosses val="autoZero"/>
        <c:crossBetween val="midCat"/>
      </c:valAx>
      <c:valAx>
        <c:axId val="250324856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324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Hoja5!$B$2:$B$8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</c:numCache>
            </c:numRef>
          </c:xVal>
          <c:yVal>
            <c:numRef>
              <c:f>Hoja5!$C$2:$C$8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931-49F9-AA44-0EB585E1C77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Hoja5!$H$2:$H$6</c:f>
              <c:numCache>
                <c:formatCode>0.00</c:formatCode>
                <c:ptCount val="5"/>
                <c:pt idx="0">
                  <c:v>-6.7383165019974101E-16</c:v>
                </c:pt>
                <c:pt idx="1">
                  <c:v>-6.0000000000000009</c:v>
                </c:pt>
                <c:pt idx="2">
                  <c:v>-6.0000000000000009</c:v>
                </c:pt>
                <c:pt idx="3">
                  <c:v>-7.9634649569060301E-16</c:v>
                </c:pt>
                <c:pt idx="4">
                  <c:v>-6.7383165019974101E-16</c:v>
                </c:pt>
              </c:numCache>
            </c:numRef>
          </c:xVal>
          <c:yVal>
            <c:numRef>
              <c:f>Hoja5!$I$2:$I$6</c:f>
              <c:numCache>
                <c:formatCode>0.00</c:formatCode>
                <c:ptCount val="5"/>
                <c:pt idx="0">
                  <c:v>-5.5</c:v>
                </c:pt>
                <c:pt idx="1">
                  <c:v>-5.4999999999999991</c:v>
                </c:pt>
                <c:pt idx="2">
                  <c:v>-6.4999999999999991</c:v>
                </c:pt>
                <c:pt idx="3">
                  <c:v>-6.5</c:v>
                </c:pt>
                <c:pt idx="4">
                  <c:v>-5.5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931-49F9-AA44-0EB585E1C77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Hoja5!$H$7:$H$11</c:f>
              <c:numCache>
                <c:formatCode>0.00</c:formatCode>
                <c:ptCount val="5"/>
                <c:pt idx="0">
                  <c:v>-2.5000000000000004</c:v>
                </c:pt>
                <c:pt idx="1">
                  <c:v>-3.5000000000000004</c:v>
                </c:pt>
                <c:pt idx="2">
                  <c:v>-3.5000000000000009</c:v>
                </c:pt>
                <c:pt idx="3">
                  <c:v>-2.5000000000000009</c:v>
                </c:pt>
                <c:pt idx="4">
                  <c:v>-2.5000000000000004</c:v>
                </c:pt>
              </c:numCache>
            </c:numRef>
          </c:xVal>
          <c:yVal>
            <c:numRef>
              <c:f>Hoja5!$I$7:$I$11</c:f>
              <c:numCache>
                <c:formatCode>0.00</c:formatCode>
                <c:ptCount val="5"/>
                <c:pt idx="0">
                  <c:v>-2.9999999999999996</c:v>
                </c:pt>
                <c:pt idx="1">
                  <c:v>-2.9999999999999996</c:v>
                </c:pt>
                <c:pt idx="2">
                  <c:v>-9</c:v>
                </c:pt>
                <c:pt idx="3">
                  <c:v>-9</c:v>
                </c:pt>
                <c:pt idx="4">
                  <c:v>-2.9999999999999996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931-49F9-AA44-0EB585E1C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326032"/>
        <c:axId val="250326424"/>
      </c:scatterChart>
      <c:valAx>
        <c:axId val="250326032"/>
        <c:scaling>
          <c:orientation val="minMax"/>
          <c:max val="12"/>
          <c:min val="-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326424"/>
        <c:crosses val="autoZero"/>
        <c:crossBetween val="midCat"/>
        <c:majorUnit val="1"/>
      </c:valAx>
      <c:valAx>
        <c:axId val="250326424"/>
        <c:scaling>
          <c:orientation val="minMax"/>
          <c:max val="12"/>
          <c:min val="-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326032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'Hoja5 (2)'!$B$2:$B$8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</c:numCache>
            </c:numRef>
          </c:xVal>
          <c:yVal>
            <c:numRef>
              <c:f>'Hoja5 (2)'!$C$2:$C$8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931-49F9-AA44-0EB585E1C77F}"/>
            </c:ext>
          </c:extLst>
        </c:ser>
        <c:ser>
          <c:idx val="1"/>
          <c:order val="1"/>
          <c:tx>
            <c:v>LL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'Hoja5 (2)'!$E$9:$E$13</c:f>
              <c:numCache>
                <c:formatCode>0.00</c:formatCode>
                <c:ptCount val="5"/>
                <c:pt idx="0">
                  <c:v>-3</c:v>
                </c:pt>
                <c:pt idx="1">
                  <c:v>3</c:v>
                </c:pt>
                <c:pt idx="2">
                  <c:v>3</c:v>
                </c:pt>
                <c:pt idx="3">
                  <c:v>-3</c:v>
                </c:pt>
                <c:pt idx="4">
                  <c:v>-3</c:v>
                </c:pt>
              </c:numCache>
            </c:numRef>
          </c:xVal>
          <c:yVal>
            <c:numRef>
              <c:f>'Hoja5 (2)'!$F$9:$F$13</c:f>
              <c:numCache>
                <c:formatCode>0.00</c:formatCode>
                <c:ptCount val="5"/>
                <c:pt idx="0">
                  <c:v>-0.5</c:v>
                </c:pt>
                <c:pt idx="1">
                  <c:v>-0.5</c:v>
                </c:pt>
                <c:pt idx="2">
                  <c:v>0.5</c:v>
                </c:pt>
                <c:pt idx="3">
                  <c:v>0.5</c:v>
                </c:pt>
                <c:pt idx="4">
                  <c:v>-0.5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931-49F9-AA44-0EB585E1C77F}"/>
            </c:ext>
          </c:extLst>
        </c:ser>
        <c:ser>
          <c:idx val="2"/>
          <c:order val="2"/>
          <c:tx>
            <c:v>LL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('Hoja5 (2)'!$E$14,'Hoja5 (2)'!$E$14:$E$18)</c:f>
              <c:numCache>
                <c:formatCode>0.00</c:formatCode>
                <c:ptCount val="6"/>
                <c:pt idx="0">
                  <c:v>-0.5</c:v>
                </c:pt>
                <c:pt idx="1">
                  <c:v>-0.5</c:v>
                </c:pt>
                <c:pt idx="2">
                  <c:v>0.5</c:v>
                </c:pt>
                <c:pt idx="3">
                  <c:v>0.5</c:v>
                </c:pt>
                <c:pt idx="4">
                  <c:v>-0.5</c:v>
                </c:pt>
                <c:pt idx="5">
                  <c:v>-0.5</c:v>
                </c:pt>
              </c:numCache>
            </c:numRef>
          </c:xVal>
          <c:yVal>
            <c:numRef>
              <c:f>('Hoja5 (2)'!$F$14,'Hoja5 (2)'!$F$14:$F$18)</c:f>
              <c:numCache>
                <c:formatCode>0.00</c:formatCode>
                <c:ptCount val="6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3</c:v>
                </c:pt>
                <c:pt idx="4">
                  <c:v>3</c:v>
                </c:pt>
                <c:pt idx="5">
                  <c:v>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931-49F9-AA44-0EB585E1C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320152"/>
        <c:axId val="250320936"/>
      </c:scatterChart>
      <c:valAx>
        <c:axId val="250320152"/>
        <c:scaling>
          <c:orientation val="minMax"/>
          <c:max val="12"/>
          <c:min val="-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320936"/>
        <c:crosses val="autoZero"/>
        <c:crossBetween val="midCat"/>
        <c:majorUnit val="1"/>
      </c:valAx>
      <c:valAx>
        <c:axId val="250320936"/>
        <c:scaling>
          <c:orientation val="minMax"/>
          <c:max val="12"/>
          <c:min val="-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320152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Hoja1!$B$2:$H$2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</c:numCache>
            </c:numRef>
          </c:xVal>
          <c:yVal>
            <c:numRef>
              <c:f>Hoja1!$B$3:$H$3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6EF-44E2-95AA-3D6B7D193183}"/>
            </c:ext>
          </c:extLst>
        </c:ser>
        <c:ser>
          <c:idx val="1"/>
          <c:order val="1"/>
          <c:tx>
            <c:v>SERIE2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6EF-44E2-95AA-3D6B7D193183}"/>
              </c:ext>
            </c:extLst>
          </c:dPt>
          <c:xVal>
            <c:numRef>
              <c:f>Hoja1!$I$11:$R$11</c:f>
              <c:numCache>
                <c:formatCode>General</c:formatCode>
                <c:ptCount val="10"/>
                <c:pt idx="0">
                  <c:v>6.0271870014184632</c:v>
                </c:pt>
                <c:pt idx="1">
                  <c:v>0.23163204368406376</c:v>
                </c:pt>
                <c:pt idx="2">
                  <c:v>-2.7187001418463197E-2</c:v>
                </c:pt>
                <c:pt idx="3">
                  <c:v>5.7683679563159362</c:v>
                </c:pt>
                <c:pt idx="4">
                  <c:v>6.0271870014184632</c:v>
                </c:pt>
                <c:pt idx="5">
                  <c:v>4.2594200484521147</c:v>
                </c:pt>
                <c:pt idx="6">
                  <c:v>3.2934942221630483</c:v>
                </c:pt>
                <c:pt idx="7">
                  <c:v>1.7405799515478853</c:v>
                </c:pt>
                <c:pt idx="8">
                  <c:v>2.7065057778369517</c:v>
                </c:pt>
                <c:pt idx="9">
                  <c:v>4.2594200484521147</c:v>
                </c:pt>
              </c:numCache>
            </c:numRef>
          </c:xVal>
          <c:yVal>
            <c:numRef>
              <c:f>Hoja1!$I$12:$R$12</c:f>
              <c:numCache>
                <c:formatCode>General</c:formatCode>
                <c:ptCount val="10"/>
                <c:pt idx="0">
                  <c:v>5.7065057778369521</c:v>
                </c:pt>
                <c:pt idx="1">
                  <c:v>7.2594200484521147</c:v>
                </c:pt>
                <c:pt idx="2">
                  <c:v>6.2934942221630479</c:v>
                </c:pt>
                <c:pt idx="3">
                  <c:v>4.7405799515478853</c:v>
                </c:pt>
                <c:pt idx="4">
                  <c:v>5.7065057778369521</c:v>
                </c:pt>
                <c:pt idx="5">
                  <c:v>8.7683679563159362</c:v>
                </c:pt>
                <c:pt idx="6">
                  <c:v>9.0271870014184632</c:v>
                </c:pt>
                <c:pt idx="7">
                  <c:v>3.2316320436840638</c:v>
                </c:pt>
                <c:pt idx="8">
                  <c:v>2.9728129985815368</c:v>
                </c:pt>
                <c:pt idx="9">
                  <c:v>8.7683679563159362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6EF-44E2-95AA-3D6B7D193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631152"/>
        <c:axId val="248629192"/>
      </c:scatterChart>
      <c:valAx>
        <c:axId val="24863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629192"/>
        <c:crosses val="autoZero"/>
        <c:crossBetween val="midCat"/>
      </c:valAx>
      <c:valAx>
        <c:axId val="248629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63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Hoja2!$B$2:$B$8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</c:numCache>
            </c:numRef>
          </c:xVal>
          <c:yVal>
            <c:numRef>
              <c:f>Hoja2!$C$2:$C$8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E68-4A09-B450-E88414CBB5EA}"/>
            </c:ext>
          </c:extLst>
        </c:ser>
        <c:ser>
          <c:idx val="1"/>
          <c:order val="1"/>
          <c:tx>
            <c:v>serie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6E68-4A09-B450-E88414CBB5EA}"/>
              </c:ext>
            </c:extLst>
          </c:dPt>
          <c:xVal>
            <c:numRef>
              <c:f>Hoja2!$E$9:$E$18</c:f>
              <c:numCache>
                <c:formatCode>General</c:formatCode>
                <c:ptCount val="10"/>
                <c:pt idx="0">
                  <c:v>5.4993777098587764E-2</c:v>
                </c:pt>
                <c:pt idx="1">
                  <c:v>6.0321619656490633</c:v>
                </c:pt>
                <c:pt idx="2">
                  <c:v>5.9450062229014122</c:v>
                </c:pt>
                <c:pt idx="3">
                  <c:v>-3.2161965649064143E-2</c:v>
                </c:pt>
                <c:pt idx="4">
                  <c:v>5.4993777098587764E-2</c:v>
                </c:pt>
                <c:pt idx="5">
                  <c:v>2.7633698791970827</c:v>
                </c:pt>
                <c:pt idx="6">
                  <c:v>3.7595645772888289</c:v>
                </c:pt>
                <c:pt idx="7">
                  <c:v>3.2366301208029173</c:v>
                </c:pt>
                <c:pt idx="8">
                  <c:v>2.2404354227111711</c:v>
                </c:pt>
                <c:pt idx="9">
                  <c:v>2.7633698791970827</c:v>
                </c:pt>
              </c:numCache>
            </c:numRef>
          </c:xVal>
          <c:yVal>
            <c:numRef>
              <c:f>Hoja2!$F$9:$F$18</c:f>
              <c:numCache>
                <c:formatCode>General</c:formatCode>
                <c:ptCount val="10"/>
                <c:pt idx="0">
                  <c:v>5.2404354227111716</c:v>
                </c:pt>
                <c:pt idx="1">
                  <c:v>5.7633698791970831</c:v>
                </c:pt>
                <c:pt idx="2">
                  <c:v>6.7595645772888284</c:v>
                </c:pt>
                <c:pt idx="3">
                  <c:v>6.2366301208029169</c:v>
                </c:pt>
                <c:pt idx="4">
                  <c:v>5.2404354227111716</c:v>
                </c:pt>
                <c:pt idx="5">
                  <c:v>2.9678380343509358</c:v>
                </c:pt>
                <c:pt idx="6">
                  <c:v>3.0549937770985878</c:v>
                </c:pt>
                <c:pt idx="7">
                  <c:v>9.0321619656490633</c:v>
                </c:pt>
                <c:pt idx="8">
                  <c:v>8.9450062229014122</c:v>
                </c:pt>
                <c:pt idx="9">
                  <c:v>2.9678380343509358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E68-4A09-B450-E88414CBB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634680"/>
        <c:axId val="248629976"/>
      </c:scatterChart>
      <c:valAx>
        <c:axId val="24863468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629976"/>
        <c:crosses val="autoZero"/>
        <c:crossBetween val="midCat"/>
      </c:valAx>
      <c:valAx>
        <c:axId val="248629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634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Hoja3!$B$2:$B$8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</c:numCache>
            </c:numRef>
          </c:xVal>
          <c:yVal>
            <c:numRef>
              <c:f>Hoja3!$C$2:$C$8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0E-4ECD-AFE1-12E717FFB0ED}"/>
            </c:ext>
          </c:extLst>
        </c:ser>
        <c:ser>
          <c:idx val="1"/>
          <c:order val="1"/>
          <c:tx>
            <c:v>SERIE2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D60E-4ECD-AFE1-12E717FFB0ED}"/>
              </c:ext>
            </c:extLst>
          </c:dPt>
          <c:xVal>
            <c:numRef>
              <c:f>Hoja3!$I$9:$I$18</c:f>
              <c:numCache>
                <c:formatCode>General</c:formatCode>
                <c:ptCount val="10"/>
                <c:pt idx="0">
                  <c:v>5.4993777098594376E-2</c:v>
                </c:pt>
                <c:pt idx="1">
                  <c:v>6.0321619656490659</c:v>
                </c:pt>
                <c:pt idx="2">
                  <c:v>5.9450062229014051</c:v>
                </c:pt>
                <c:pt idx="3">
                  <c:v>-3.2161965649066371E-2</c:v>
                </c:pt>
                <c:pt idx="4">
                  <c:v>5.4993777098594376E-2</c:v>
                </c:pt>
                <c:pt idx="5">
                  <c:v>2.7633698791971097</c:v>
                </c:pt>
                <c:pt idx="6">
                  <c:v>3.7595645772888551</c:v>
                </c:pt>
                <c:pt idx="7">
                  <c:v>3.2366301208028903</c:v>
                </c:pt>
                <c:pt idx="8">
                  <c:v>2.2404354227111449</c:v>
                </c:pt>
                <c:pt idx="9">
                  <c:v>2.7633698791971097</c:v>
                </c:pt>
              </c:numCache>
            </c:numRef>
          </c:xVal>
          <c:yVal>
            <c:numRef>
              <c:f>Hoja3!$J$9:$J$18</c:f>
              <c:numCache>
                <c:formatCode>General</c:formatCode>
                <c:ptCount val="10"/>
                <c:pt idx="0">
                  <c:v>5.2404354227111449</c:v>
                </c:pt>
                <c:pt idx="1">
                  <c:v>5.7633698791971089</c:v>
                </c:pt>
                <c:pt idx="2">
                  <c:v>6.7595645772888542</c:v>
                </c:pt>
                <c:pt idx="3">
                  <c:v>6.2366301208028903</c:v>
                </c:pt>
                <c:pt idx="4">
                  <c:v>5.2404354227111449</c:v>
                </c:pt>
                <c:pt idx="5">
                  <c:v>2.9678380343509336</c:v>
                </c:pt>
                <c:pt idx="6">
                  <c:v>3.0549937770985944</c:v>
                </c:pt>
                <c:pt idx="7">
                  <c:v>9.0321619656490668</c:v>
                </c:pt>
                <c:pt idx="8">
                  <c:v>8.9450062229014069</c:v>
                </c:pt>
                <c:pt idx="9">
                  <c:v>2.9678380343509336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D60E-4ECD-AFE1-12E717FFB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628016"/>
        <c:axId val="248631544"/>
      </c:scatterChart>
      <c:valAx>
        <c:axId val="24862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631544"/>
        <c:crosses val="autoZero"/>
        <c:crossBetween val="midCat"/>
      </c:valAx>
      <c:valAx>
        <c:axId val="24863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62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SERIE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Hoja6!$B$24:$N$24</c:f>
              <c:numCache>
                <c:formatCode>General</c:formatCode>
                <c:ptCount val="13"/>
                <c:pt idx="0">
                  <c:v>2.226182617407007</c:v>
                </c:pt>
                <c:pt idx="1">
                  <c:v>2.226182617407007</c:v>
                </c:pt>
                <c:pt idx="2">
                  <c:v>6.226182617407007</c:v>
                </c:pt>
                <c:pt idx="3">
                  <c:v>6.226182617407007</c:v>
                </c:pt>
                <c:pt idx="4">
                  <c:v>2.226182617407007</c:v>
                </c:pt>
                <c:pt idx="5">
                  <c:v>2.226182617407007</c:v>
                </c:pt>
                <c:pt idx="6">
                  <c:v>0.22618261740700696</c:v>
                </c:pt>
                <c:pt idx="7">
                  <c:v>0.22618261740700696</c:v>
                </c:pt>
                <c:pt idx="8">
                  <c:v>2.226182617407007</c:v>
                </c:pt>
                <c:pt idx="9">
                  <c:v>2.226182617407007</c:v>
                </c:pt>
                <c:pt idx="10">
                  <c:v>6.226182617407007</c:v>
                </c:pt>
                <c:pt idx="11">
                  <c:v>8.226182617407007</c:v>
                </c:pt>
                <c:pt idx="12">
                  <c:v>6.226182617407007</c:v>
                </c:pt>
              </c:numCache>
            </c:numRef>
          </c:xVal>
          <c:yVal>
            <c:numRef>
              <c:f>Hoja6!$B$25:$N$25</c:f>
              <c:numCache>
                <c:formatCode>General</c:formatCode>
                <c:ptCount val="13"/>
                <c:pt idx="0">
                  <c:v>-7.0630778703664934</c:v>
                </c:pt>
                <c:pt idx="1">
                  <c:v>-11.063077870366493</c:v>
                </c:pt>
                <c:pt idx="2">
                  <c:v>-11.063077870366493</c:v>
                </c:pt>
                <c:pt idx="3">
                  <c:v>-7.0630778703664934</c:v>
                </c:pt>
                <c:pt idx="4">
                  <c:v>-7.0630778703664934</c:v>
                </c:pt>
                <c:pt idx="5">
                  <c:v>-9.0630778703664934</c:v>
                </c:pt>
                <c:pt idx="6">
                  <c:v>-7.0630778703664934</c:v>
                </c:pt>
                <c:pt idx="7">
                  <c:v>-11.063077870366493</c:v>
                </c:pt>
                <c:pt idx="8">
                  <c:v>-9.0630778703664934</c:v>
                </c:pt>
                <c:pt idx="9">
                  <c:v>-7.0630778703664934</c:v>
                </c:pt>
                <c:pt idx="10">
                  <c:v>-7.0630778703664934</c:v>
                </c:pt>
                <c:pt idx="11">
                  <c:v>-9.0630778703664934</c:v>
                </c:pt>
                <c:pt idx="12">
                  <c:v>-11.063077870366493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AFA-45BD-A73C-A856916AD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632720"/>
        <c:axId val="248629584"/>
      </c:scatterChar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Hoja6!$B$4:$Z$4</c:f>
              <c:numCache>
                <c:formatCode>General</c:formatCode>
                <c:ptCount val="25"/>
                <c:pt idx="0">
                  <c:v>10</c:v>
                </c:pt>
                <c:pt idx="1">
                  <c:v>9.6592582628906829</c:v>
                </c:pt>
                <c:pt idx="2">
                  <c:v>8.6602540378443873</c:v>
                </c:pt>
                <c:pt idx="3">
                  <c:v>7.0710678118654755</c:v>
                </c:pt>
                <c:pt idx="4">
                  <c:v>5.0000000000000009</c:v>
                </c:pt>
                <c:pt idx="5">
                  <c:v>2.5881904510252074</c:v>
                </c:pt>
                <c:pt idx="6">
                  <c:v>6.1257422745431001E-16</c:v>
                </c:pt>
                <c:pt idx="7">
                  <c:v>-2.5881904510252083</c:v>
                </c:pt>
                <c:pt idx="8">
                  <c:v>-4.9999999999999982</c:v>
                </c:pt>
                <c:pt idx="9">
                  <c:v>-7.0710678118654746</c:v>
                </c:pt>
                <c:pt idx="10">
                  <c:v>-8.6602540378443873</c:v>
                </c:pt>
                <c:pt idx="11">
                  <c:v>-9.6592582628906811</c:v>
                </c:pt>
                <c:pt idx="12">
                  <c:v>-10</c:v>
                </c:pt>
                <c:pt idx="13">
                  <c:v>-9.6592582628906829</c:v>
                </c:pt>
                <c:pt idx="14">
                  <c:v>-8.6602540378443855</c:v>
                </c:pt>
                <c:pt idx="15">
                  <c:v>-7.0710678118654773</c:v>
                </c:pt>
                <c:pt idx="16">
                  <c:v>-5.0000000000000044</c:v>
                </c:pt>
                <c:pt idx="17">
                  <c:v>-2.5881904510252065</c:v>
                </c:pt>
                <c:pt idx="18">
                  <c:v>-1.83772268236293E-15</c:v>
                </c:pt>
                <c:pt idx="19">
                  <c:v>2.588190451025203</c:v>
                </c:pt>
                <c:pt idx="20">
                  <c:v>5.0000000000000009</c:v>
                </c:pt>
                <c:pt idx="21">
                  <c:v>7.0710678118654737</c:v>
                </c:pt>
                <c:pt idx="22">
                  <c:v>8.6602540378443837</c:v>
                </c:pt>
                <c:pt idx="23">
                  <c:v>9.6592582628906829</c:v>
                </c:pt>
                <c:pt idx="24">
                  <c:v>10</c:v>
                </c:pt>
              </c:numCache>
            </c:numRef>
          </c:xVal>
          <c:yVal>
            <c:numRef>
              <c:f>Hoja6!$B$5:$Z$5</c:f>
              <c:numCache>
                <c:formatCode>General</c:formatCode>
                <c:ptCount val="25"/>
                <c:pt idx="0">
                  <c:v>0</c:v>
                </c:pt>
                <c:pt idx="1">
                  <c:v>2.5881904510252074</c:v>
                </c:pt>
                <c:pt idx="2">
                  <c:v>4.9999999999999991</c:v>
                </c:pt>
                <c:pt idx="3">
                  <c:v>7.0710678118654746</c:v>
                </c:pt>
                <c:pt idx="4">
                  <c:v>8.6602540378443855</c:v>
                </c:pt>
                <c:pt idx="5">
                  <c:v>9.6592582628906829</c:v>
                </c:pt>
                <c:pt idx="6">
                  <c:v>10</c:v>
                </c:pt>
                <c:pt idx="7">
                  <c:v>9.6592582628906829</c:v>
                </c:pt>
                <c:pt idx="8">
                  <c:v>8.6602540378443873</c:v>
                </c:pt>
                <c:pt idx="9">
                  <c:v>7.0710678118654755</c:v>
                </c:pt>
                <c:pt idx="10">
                  <c:v>4.9999999999999991</c:v>
                </c:pt>
                <c:pt idx="11">
                  <c:v>2.5881904510252101</c:v>
                </c:pt>
                <c:pt idx="12">
                  <c:v>1.22514845490862E-15</c:v>
                </c:pt>
                <c:pt idx="13">
                  <c:v>-2.5881904510252078</c:v>
                </c:pt>
                <c:pt idx="14">
                  <c:v>-5.0000000000000009</c:v>
                </c:pt>
                <c:pt idx="15">
                  <c:v>-7.0710678118654746</c:v>
                </c:pt>
                <c:pt idx="16">
                  <c:v>-8.6602540378443837</c:v>
                </c:pt>
                <c:pt idx="17">
                  <c:v>-9.6592582628906829</c:v>
                </c:pt>
                <c:pt idx="18">
                  <c:v>-10</c:v>
                </c:pt>
                <c:pt idx="19">
                  <c:v>-9.6592582628906847</c:v>
                </c:pt>
                <c:pt idx="20">
                  <c:v>-8.6602540378443855</c:v>
                </c:pt>
                <c:pt idx="21">
                  <c:v>-7.0710678118654773</c:v>
                </c:pt>
                <c:pt idx="22">
                  <c:v>-5.0000000000000044</c:v>
                </c:pt>
                <c:pt idx="23">
                  <c:v>-2.588190451025207</c:v>
                </c:pt>
                <c:pt idx="24">
                  <c:v>-2.45029690981724E-15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9AFA-45BD-A73C-A856916AD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632720"/>
        <c:axId val="248629584"/>
      </c:scatterChart>
      <c:valAx>
        <c:axId val="24863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629584"/>
        <c:crosses val="autoZero"/>
        <c:crossBetween val="midCat"/>
      </c:valAx>
      <c:valAx>
        <c:axId val="2486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63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Hoja7!$B$4:$Z$4</c:f>
              <c:numCache>
                <c:formatCode>0.00</c:formatCode>
                <c:ptCount val="25"/>
                <c:pt idx="0" formatCode="General">
                  <c:v>0</c:v>
                </c:pt>
                <c:pt idx="1">
                  <c:v>0.26778825079541763</c:v>
                </c:pt>
                <c:pt idx="2">
                  <c:v>0.5714285714285714</c:v>
                </c:pt>
                <c:pt idx="3">
                  <c:v>0.94280904158206325</c:v>
                </c:pt>
                <c:pt idx="4">
                  <c:v>1.3856406460551018</c:v>
                </c:pt>
                <c:pt idx="5">
                  <c:v>1.8105666824751578</c:v>
                </c:pt>
                <c:pt idx="6" formatCode="0.0">
                  <c:v>2</c:v>
                </c:pt>
                <c:pt idx="7">
                  <c:v>1.8105666824751576</c:v>
                </c:pt>
                <c:pt idx="8">
                  <c:v>1.3856406460551023</c:v>
                </c:pt>
                <c:pt idx="9">
                  <c:v>0.94280904158206347</c:v>
                </c:pt>
                <c:pt idx="10">
                  <c:v>0.5714285714285714</c:v>
                </c:pt>
                <c:pt idx="11">
                  <c:v>0.26778825079541796</c:v>
                </c:pt>
                <c:pt idx="12" formatCode="0">
                  <c:v>1.22514845490862E-16</c:v>
                </c:pt>
                <c:pt idx="13" formatCode="0.0">
                  <c:v>-0.26778825079541768</c:v>
                </c:pt>
                <c:pt idx="14" formatCode="0.0">
                  <c:v>-0.57142857142857151</c:v>
                </c:pt>
                <c:pt idx="15" formatCode="0.0">
                  <c:v>-0.94280904158206313</c:v>
                </c:pt>
                <c:pt idx="16" formatCode="0.0">
                  <c:v>-1.385640646055101</c:v>
                </c:pt>
                <c:pt idx="17" formatCode="0.0">
                  <c:v>-1.8105666824751578</c:v>
                </c:pt>
                <c:pt idx="18" formatCode="0.0">
                  <c:v>-2</c:v>
                </c:pt>
                <c:pt idx="19" formatCode="0.0">
                  <c:v>-1.8105666824751585</c:v>
                </c:pt>
                <c:pt idx="20" formatCode="0.0">
                  <c:v>-1.3856406460551018</c:v>
                </c:pt>
                <c:pt idx="21" formatCode="0.0">
                  <c:v>-0.94280904158206369</c:v>
                </c:pt>
                <c:pt idx="22" formatCode="0.0">
                  <c:v>-0.57142857142857206</c:v>
                </c:pt>
                <c:pt idx="23" formatCode="0.0">
                  <c:v>-0.26778825079541757</c:v>
                </c:pt>
                <c:pt idx="24">
                  <c:v>-2.45029690981724E-16</c:v>
                </c:pt>
              </c:numCache>
            </c:numRef>
          </c:xVal>
          <c:yVal>
            <c:numRef>
              <c:f>Hoja7!$B$5:$Z$5</c:f>
              <c:numCache>
                <c:formatCode>0.00</c:formatCode>
                <c:ptCount val="25"/>
                <c:pt idx="0" formatCode="General">
                  <c:v>0</c:v>
                </c:pt>
                <c:pt idx="1">
                  <c:v>0.25866358742006801</c:v>
                </c:pt>
                <c:pt idx="2">
                  <c:v>0.49487165930539351</c:v>
                </c:pt>
                <c:pt idx="3">
                  <c:v>0.66666666666666663</c:v>
                </c:pt>
                <c:pt idx="4">
                  <c:v>0.69282032302755103</c:v>
                </c:pt>
                <c:pt idx="5">
                  <c:v>0.46860913985265923</c:v>
                </c:pt>
                <c:pt idx="6" formatCode="0">
                  <c:v>1.22514845490862E-16</c:v>
                </c:pt>
                <c:pt idx="7" formatCode="0.0">
                  <c:v>-0.4686091398526594</c:v>
                </c:pt>
                <c:pt idx="8">
                  <c:v>-0.69282032302755081</c:v>
                </c:pt>
                <c:pt idx="9">
                  <c:v>-0.66666666666666663</c:v>
                </c:pt>
                <c:pt idx="10">
                  <c:v>-0.49487165930539351</c:v>
                </c:pt>
                <c:pt idx="11">
                  <c:v>-0.25866358742006829</c:v>
                </c:pt>
                <c:pt idx="12" formatCode="0">
                  <c:v>-1.22514845490862E-16</c:v>
                </c:pt>
                <c:pt idx="13" formatCode="0.0">
                  <c:v>0.25866358742006806</c:v>
                </c:pt>
                <c:pt idx="14" formatCode="0.0">
                  <c:v>0.49487165930539362</c:v>
                </c:pt>
                <c:pt idx="15" formatCode="0.0">
                  <c:v>0.66666666666666674</c:v>
                </c:pt>
                <c:pt idx="16" formatCode="0.0">
                  <c:v>0.69282032302755103</c:v>
                </c:pt>
                <c:pt idx="17" formatCode="0.0">
                  <c:v>0.46860913985265906</c:v>
                </c:pt>
                <c:pt idx="18" formatCode="0.0">
                  <c:v>3.67544536472586E-16</c:v>
                </c:pt>
                <c:pt idx="19" formatCode="0.0">
                  <c:v>-0.46860913985265856</c:v>
                </c:pt>
                <c:pt idx="20" formatCode="0.0">
                  <c:v>-0.69282032302755103</c:v>
                </c:pt>
                <c:pt idx="21" formatCode="0.0">
                  <c:v>-0.66666666666666674</c:v>
                </c:pt>
                <c:pt idx="22" formatCode="0.0">
                  <c:v>-0.49487165930539395</c:v>
                </c:pt>
                <c:pt idx="23" formatCode="0.0">
                  <c:v>-0.25866358742006795</c:v>
                </c:pt>
                <c:pt idx="24">
                  <c:v>-2.45029690981724E-16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549-4C14-9547-CCB08E489B49}"/>
            </c:ext>
          </c:extLst>
        </c:ser>
        <c:ser>
          <c:idx val="1"/>
          <c:order val="1"/>
          <c:tx>
            <c:v>PEZ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Hoja7!$E$16:$Q$16</c:f>
              <c:numCache>
                <c:formatCode>General</c:formatCode>
                <c:ptCount val="13"/>
                <c:pt idx="0">
                  <c:v>-0.65632783520317006</c:v>
                </c:pt>
                <c:pt idx="1">
                  <c:v>-0.54833798577196213</c:v>
                </c:pt>
                <c:pt idx="2">
                  <c:v>-0.71667750109687045</c:v>
                </c:pt>
                <c:pt idx="3">
                  <c:v>-0.82466735052807838</c:v>
                </c:pt>
                <c:pt idx="4">
                  <c:v>-0.65632783520317006</c:v>
                </c:pt>
                <c:pt idx="5">
                  <c:v>-0.6023329104875661</c:v>
                </c:pt>
                <c:pt idx="6">
                  <c:v>-0.57215807754071579</c:v>
                </c:pt>
                <c:pt idx="7">
                  <c:v>-0.46416822810950797</c:v>
                </c:pt>
                <c:pt idx="8">
                  <c:v>-0.6023329104875661</c:v>
                </c:pt>
                <c:pt idx="9">
                  <c:v>-0.65632783520317006</c:v>
                </c:pt>
                <c:pt idx="10">
                  <c:v>-0.82466735052807838</c:v>
                </c:pt>
                <c:pt idx="11">
                  <c:v>-0.85484218347492869</c:v>
                </c:pt>
                <c:pt idx="12">
                  <c:v>-0.71667750109687045</c:v>
                </c:pt>
              </c:numCache>
            </c:numRef>
          </c:xVal>
          <c:yVal>
            <c:numRef>
              <c:f>Hoja7!$E$17:$Q$17</c:f>
              <c:numCache>
                <c:formatCode>General</c:formatCode>
                <c:ptCount val="13"/>
                <c:pt idx="0">
                  <c:v>0.42713121199825149</c:v>
                </c:pt>
                <c:pt idx="1">
                  <c:v>0.60377302935318722</c:v>
                </c:pt>
                <c:pt idx="2">
                  <c:v>0.69756891605162141</c:v>
                </c:pt>
                <c:pt idx="3">
                  <c:v>0.52092709869668574</c:v>
                </c:pt>
                <c:pt idx="4">
                  <c:v>0.42713121199825149</c:v>
                </c:pt>
                <c:pt idx="5">
                  <c:v>0.51545212067571944</c:v>
                </c:pt>
                <c:pt idx="6">
                  <c:v>0.38023326864903439</c:v>
                </c:pt>
                <c:pt idx="7">
                  <c:v>0.55687508600397018</c:v>
                </c:pt>
                <c:pt idx="8">
                  <c:v>0.51545212067571944</c:v>
                </c:pt>
                <c:pt idx="9">
                  <c:v>0.42713121199825149</c:v>
                </c:pt>
                <c:pt idx="10">
                  <c:v>0.52092709869668574</c:v>
                </c:pt>
                <c:pt idx="11">
                  <c:v>0.65614595072337067</c:v>
                </c:pt>
                <c:pt idx="12">
                  <c:v>0.69756891605162141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5549-4C14-9547-CCB08E489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633504"/>
        <c:axId val="248634288"/>
      </c:scatterChart>
      <c:valAx>
        <c:axId val="24863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634288"/>
        <c:crosses val="autoZero"/>
        <c:crossBetween val="midCat"/>
      </c:valAx>
      <c:valAx>
        <c:axId val="24863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63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7</xdr:row>
      <xdr:rowOff>147636</xdr:rowOff>
    </xdr:from>
    <xdr:to>
      <xdr:col>12</xdr:col>
      <xdr:colOff>466725</xdr:colOff>
      <xdr:row>27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10</xdr:row>
      <xdr:rowOff>166686</xdr:rowOff>
    </xdr:from>
    <xdr:to>
      <xdr:col>6</xdr:col>
      <xdr:colOff>9525</xdr:colOff>
      <xdr:row>29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10</xdr:row>
      <xdr:rowOff>166686</xdr:rowOff>
    </xdr:from>
    <xdr:to>
      <xdr:col>6</xdr:col>
      <xdr:colOff>9525</xdr:colOff>
      <xdr:row>29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285749</xdr:colOff>
      <xdr:row>4</xdr:row>
      <xdr:rowOff>4762</xdr:rowOff>
    </xdr:from>
    <xdr:to>
      <xdr:col>15</xdr:col>
      <xdr:colOff>733424</xdr:colOff>
      <xdr:row>19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171450</xdr:colOff>
      <xdr:row>4</xdr:row>
      <xdr:rowOff>157162</xdr:rowOff>
    </xdr:from>
    <xdr:to>
      <xdr:col>16</xdr:col>
      <xdr:colOff>171450</xdr:colOff>
      <xdr:row>18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732367</xdr:colOff>
      <xdr:row>4</xdr:row>
      <xdr:rowOff>146579</xdr:rowOff>
    </xdr:from>
    <xdr:to>
      <xdr:col>18</xdr:col>
      <xdr:colOff>732367</xdr:colOff>
      <xdr:row>18</xdr:row>
      <xdr:rowOff>89429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677333</xdr:colOff>
      <xdr:row>17</xdr:row>
      <xdr:rowOff>136524</xdr:rowOff>
    </xdr:from>
    <xdr:to>
      <xdr:col>11</xdr:col>
      <xdr:colOff>645583</xdr:colOff>
      <xdr:row>32</xdr:row>
      <xdr:rowOff>22224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476249</xdr:colOff>
      <xdr:row>8</xdr:row>
      <xdr:rowOff>61912</xdr:rowOff>
    </xdr:from>
    <xdr:to>
      <xdr:col>13</xdr:col>
      <xdr:colOff>704850</xdr:colOff>
      <xdr:row>22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18</xdr:row>
      <xdr:rowOff>14287</xdr:rowOff>
    </xdr:from>
    <xdr:to>
      <xdr:col>13</xdr:col>
      <xdr:colOff>381000</xdr:colOff>
      <xdr:row>32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276225</xdr:colOff>
      <xdr:row>9</xdr:row>
      <xdr:rowOff>180974</xdr:rowOff>
    </xdr:from>
    <xdr:to>
      <xdr:col>14</xdr:col>
      <xdr:colOff>9525</xdr:colOff>
      <xdr:row>23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6</xdr:row>
      <xdr:rowOff>4762</xdr:rowOff>
    </xdr:from>
    <xdr:to>
      <xdr:col>27</xdr:col>
      <xdr:colOff>514350</xdr:colOff>
      <xdr:row>20</xdr:row>
      <xdr:rowOff>80962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xmlns="" id="{D25DF386-92C1-40F7-B859-809D78ABB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L4" sqref="L4"/>
    </sheetView>
  </sheetViews>
  <sheetFormatPr baseColWidth="10" defaultRowHeight="15" x14ac:dyDescent="0.25"/>
  <sheetData>
    <row r="1" spans="1:9" x14ac:dyDescent="0.25">
      <c r="B1" s="1" t="s">
        <v>0</v>
      </c>
      <c r="C1" s="1" t="s">
        <v>1</v>
      </c>
      <c r="D1" s="1"/>
      <c r="E1" s="1" t="s">
        <v>5</v>
      </c>
      <c r="F1" s="1" t="s">
        <v>6</v>
      </c>
      <c r="G1" s="1"/>
      <c r="H1" s="1" t="s">
        <v>7</v>
      </c>
      <c r="I1" s="1" t="s">
        <v>8</v>
      </c>
    </row>
    <row r="2" spans="1:9" x14ac:dyDescent="0.25">
      <c r="A2" t="s">
        <v>2</v>
      </c>
      <c r="B2" s="1">
        <v>2</v>
      </c>
      <c r="C2" s="1">
        <v>3</v>
      </c>
      <c r="D2" s="1"/>
      <c r="E2" s="1">
        <v>1</v>
      </c>
      <c r="F2" s="1">
        <v>1</v>
      </c>
      <c r="G2" s="1"/>
      <c r="H2" s="1">
        <f>B2+E2</f>
        <v>3</v>
      </c>
      <c r="I2" s="1">
        <f>C2+F2</f>
        <v>4</v>
      </c>
    </row>
    <row r="3" spans="1:9" x14ac:dyDescent="0.25">
      <c r="A3" t="s">
        <v>3</v>
      </c>
      <c r="B3" s="1">
        <v>1</v>
      </c>
      <c r="C3" s="1">
        <v>1</v>
      </c>
      <c r="D3" s="1"/>
      <c r="E3" s="1"/>
      <c r="F3" s="1"/>
      <c r="G3" s="1"/>
      <c r="H3" s="1">
        <f>B3+E2</f>
        <v>2</v>
      </c>
      <c r="I3" s="1">
        <f>C3+F2</f>
        <v>2</v>
      </c>
    </row>
    <row r="4" spans="1:9" x14ac:dyDescent="0.25">
      <c r="A4" t="s">
        <v>4</v>
      </c>
      <c r="B4" s="1">
        <v>3</v>
      </c>
      <c r="C4" s="1">
        <v>1</v>
      </c>
      <c r="D4" s="1"/>
      <c r="E4" s="1"/>
      <c r="F4" s="1"/>
      <c r="G4" s="1"/>
      <c r="H4" s="1">
        <f>B4+E2</f>
        <v>4</v>
      </c>
      <c r="I4" s="1">
        <f>C4+F2</f>
        <v>2</v>
      </c>
    </row>
    <row r="5" spans="1:9" x14ac:dyDescent="0.25">
      <c r="B5" s="1">
        <v>2</v>
      </c>
      <c r="C5" s="1">
        <v>3</v>
      </c>
      <c r="D5" s="1"/>
      <c r="E5" s="1"/>
      <c r="F5" s="1"/>
      <c r="G5" s="1"/>
      <c r="H5" s="1">
        <f>B5+E2</f>
        <v>3</v>
      </c>
      <c r="I5" s="1">
        <f>C5+F2</f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I16" sqref="I16"/>
    </sheetView>
  </sheetViews>
  <sheetFormatPr baseColWidth="10" defaultRowHeight="15" x14ac:dyDescent="0.25"/>
  <sheetData>
    <row r="1" spans="1:12" x14ac:dyDescent="0.25">
      <c r="B1" s="1" t="s">
        <v>0</v>
      </c>
      <c r="C1" s="1" t="s">
        <v>1</v>
      </c>
      <c r="D1" s="1"/>
      <c r="E1" s="1" t="s">
        <v>9</v>
      </c>
      <c r="F1" s="1" t="s">
        <v>10</v>
      </c>
      <c r="G1" s="1"/>
      <c r="H1" s="1" t="s">
        <v>7</v>
      </c>
      <c r="I1" s="1" t="s">
        <v>8</v>
      </c>
      <c r="K1" s="1" t="s">
        <v>9</v>
      </c>
      <c r="L1" s="1" t="s">
        <v>10</v>
      </c>
    </row>
    <row r="2" spans="1:12" x14ac:dyDescent="0.25">
      <c r="A2" t="s">
        <v>2</v>
      </c>
      <c r="B2" s="1">
        <v>2</v>
      </c>
      <c r="C2" s="1">
        <v>3</v>
      </c>
      <c r="D2" s="1"/>
      <c r="E2" s="1">
        <v>0.5</v>
      </c>
      <c r="F2" s="1">
        <v>0.5</v>
      </c>
      <c r="G2" s="1"/>
      <c r="H2" s="1">
        <f>B2*E2</f>
        <v>1</v>
      </c>
      <c r="I2" s="1">
        <f>C2*F2</f>
        <v>1.5</v>
      </c>
      <c r="K2" t="s">
        <v>11</v>
      </c>
      <c r="L2" t="s">
        <v>11</v>
      </c>
    </row>
    <row r="3" spans="1:12" x14ac:dyDescent="0.25">
      <c r="A3" t="s">
        <v>3</v>
      </c>
      <c r="B3" s="1">
        <v>1</v>
      </c>
      <c r="C3" s="1">
        <v>1</v>
      </c>
      <c r="D3" s="1"/>
      <c r="E3" s="1"/>
      <c r="F3" s="1"/>
      <c r="G3" s="1"/>
      <c r="H3" s="1">
        <f>B3*E2</f>
        <v>0.5</v>
      </c>
      <c r="I3" s="1">
        <f>C3*$F$2</f>
        <v>0.5</v>
      </c>
      <c r="K3" t="s">
        <v>11</v>
      </c>
      <c r="L3" t="s">
        <v>12</v>
      </c>
    </row>
    <row r="4" spans="1:12" x14ac:dyDescent="0.25">
      <c r="A4" t="s">
        <v>4</v>
      </c>
      <c r="B4" s="1">
        <v>3</v>
      </c>
      <c r="C4" s="1">
        <v>1</v>
      </c>
      <c r="D4" s="1"/>
      <c r="E4" s="1"/>
      <c r="F4" s="1"/>
      <c r="G4" s="1"/>
      <c r="H4" s="1">
        <f>B4*E2</f>
        <v>1.5</v>
      </c>
      <c r="I4" s="1">
        <f t="shared" ref="I4:I5" si="0">C4*$F$2</f>
        <v>0.5</v>
      </c>
      <c r="K4" t="s">
        <v>12</v>
      </c>
      <c r="L4" t="s">
        <v>11</v>
      </c>
    </row>
    <row r="5" spans="1:12" x14ac:dyDescent="0.25">
      <c r="B5" s="1">
        <v>2</v>
      </c>
      <c r="C5" s="1">
        <v>3</v>
      </c>
      <c r="D5" s="1"/>
      <c r="E5" s="1"/>
      <c r="F5" s="1"/>
      <c r="G5" s="1"/>
      <c r="H5" s="1">
        <f>B5*$E$2</f>
        <v>1</v>
      </c>
      <c r="I5" s="1">
        <f t="shared" si="0"/>
        <v>1.5</v>
      </c>
      <c r="K5" t="s">
        <v>12</v>
      </c>
      <c r="L5" t="s">
        <v>12</v>
      </c>
    </row>
    <row r="7" spans="1:12" x14ac:dyDescent="0.25">
      <c r="K7" t="s">
        <v>13</v>
      </c>
    </row>
    <row r="8" spans="1:12" x14ac:dyDescent="0.25">
      <c r="L8" t="s">
        <v>14</v>
      </c>
    </row>
    <row r="9" spans="1:12" x14ac:dyDescent="0.25">
      <c r="K9" t="s">
        <v>15</v>
      </c>
      <c r="L9" t="s">
        <v>16</v>
      </c>
    </row>
    <row r="10" spans="1:12" x14ac:dyDescent="0.25">
      <c r="K10" t="s">
        <v>17</v>
      </c>
      <c r="L10" t="s">
        <v>18</v>
      </c>
    </row>
    <row r="11" spans="1:12" x14ac:dyDescent="0.25">
      <c r="K11" t="s">
        <v>15</v>
      </c>
      <c r="L11" t="s">
        <v>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opLeftCell="A4" workbookViewId="0">
      <selection activeCell="H18" sqref="H18"/>
    </sheetView>
  </sheetViews>
  <sheetFormatPr baseColWidth="10" defaultRowHeight="15" x14ac:dyDescent="0.25"/>
  <sheetData>
    <row r="1" spans="1:12" x14ac:dyDescent="0.25">
      <c r="B1" s="1" t="s">
        <v>0</v>
      </c>
      <c r="C1" s="1" t="s">
        <v>1</v>
      </c>
      <c r="D1" s="1" t="s">
        <v>21</v>
      </c>
      <c r="E1" s="1" t="s">
        <v>19</v>
      </c>
      <c r="F1" s="1" t="s">
        <v>20</v>
      </c>
      <c r="G1" s="1"/>
      <c r="H1" s="1" t="s">
        <v>7</v>
      </c>
      <c r="I1" s="1" t="s">
        <v>8</v>
      </c>
      <c r="K1" s="1" t="s">
        <v>9</v>
      </c>
      <c r="L1" s="1" t="s">
        <v>10</v>
      </c>
    </row>
    <row r="2" spans="1:12" x14ac:dyDescent="0.25">
      <c r="A2" t="s">
        <v>2</v>
      </c>
      <c r="B2" s="1">
        <v>2</v>
      </c>
      <c r="C2" s="1">
        <v>3</v>
      </c>
      <c r="D2" s="1">
        <v>10</v>
      </c>
      <c r="E2" s="1">
        <f ca="1">MOD(E2+D2,360)</f>
        <v>190</v>
      </c>
      <c r="F2" s="2">
        <f ca="1">RADIANS(E2)</f>
        <v>3.3161255787892263</v>
      </c>
      <c r="G2" s="1"/>
      <c r="H2" s="2">
        <f ca="1">B2*COS($F$2)-C2*SIN($F$2)</f>
        <v>-1.4486709730236247</v>
      </c>
      <c r="I2" s="2">
        <f ca="1">B2*SIN($F$2)+C2*COS($F$2)</f>
        <v>-3.301719614370485</v>
      </c>
      <c r="K2" t="s">
        <v>11</v>
      </c>
      <c r="L2" t="s">
        <v>11</v>
      </c>
    </row>
    <row r="3" spans="1:12" x14ac:dyDescent="0.25">
      <c r="A3" t="s">
        <v>3</v>
      </c>
      <c r="B3" s="1">
        <v>1</v>
      </c>
      <c r="C3" s="1">
        <v>1</v>
      </c>
      <c r="D3" s="1"/>
      <c r="E3" s="1"/>
      <c r="F3" s="1"/>
      <c r="G3" s="1"/>
      <c r="H3" s="2">
        <f t="shared" ref="H3:H5" ca="1" si="0">B3*COS($F$2)-C3*SIN($F$2)</f>
        <v>-0.81115957534527761</v>
      </c>
      <c r="I3" s="2">
        <f t="shared" ref="I3:I5" ca="1" si="1">B3*SIN($F$2)+C3*COS($F$2)</f>
        <v>-1.1584559306791384</v>
      </c>
      <c r="K3" t="s">
        <v>11</v>
      </c>
      <c r="L3" t="s">
        <v>12</v>
      </c>
    </row>
    <row r="4" spans="1:12" x14ac:dyDescent="0.25">
      <c r="A4" t="s">
        <v>4</v>
      </c>
      <c r="B4" s="1">
        <v>3</v>
      </c>
      <c r="C4" s="1">
        <v>1</v>
      </c>
      <c r="D4" s="1"/>
      <c r="E4" s="1"/>
      <c r="F4" s="1"/>
      <c r="G4" s="1"/>
      <c r="H4" s="2">
        <f t="shared" ca="1" si="0"/>
        <v>-2.7807750813696934</v>
      </c>
      <c r="I4" s="2">
        <f t="shared" ca="1" si="1"/>
        <v>-1.5057522860129993</v>
      </c>
      <c r="K4" t="s">
        <v>12</v>
      </c>
      <c r="L4" t="s">
        <v>11</v>
      </c>
    </row>
    <row r="5" spans="1:12" x14ac:dyDescent="0.25">
      <c r="B5" s="1">
        <v>2</v>
      </c>
      <c r="C5" s="1">
        <v>3</v>
      </c>
      <c r="D5" s="1"/>
      <c r="E5" s="1"/>
      <c r="F5" s="1"/>
      <c r="G5" s="1"/>
      <c r="H5" s="2">
        <f t="shared" ca="1" si="0"/>
        <v>-1.4486709730236247</v>
      </c>
      <c r="I5" s="2">
        <f t="shared" ca="1" si="1"/>
        <v>-3.301719614370485</v>
      </c>
      <c r="K5" t="s">
        <v>12</v>
      </c>
      <c r="L5" t="s">
        <v>12</v>
      </c>
    </row>
    <row r="7" spans="1:12" x14ac:dyDescent="0.25">
      <c r="K7" t="s">
        <v>13</v>
      </c>
    </row>
    <row r="8" spans="1:12" x14ac:dyDescent="0.25">
      <c r="L8" t="s">
        <v>14</v>
      </c>
    </row>
    <row r="9" spans="1:12" x14ac:dyDescent="0.25">
      <c r="K9" t="s">
        <v>15</v>
      </c>
      <c r="L9" t="s">
        <v>16</v>
      </c>
    </row>
    <row r="10" spans="1:12" x14ac:dyDescent="0.25">
      <c r="K10" t="s">
        <v>17</v>
      </c>
      <c r="L10" t="s">
        <v>18</v>
      </c>
    </row>
    <row r="11" spans="1:12" x14ac:dyDescent="0.25">
      <c r="K11" t="s">
        <v>15</v>
      </c>
      <c r="L11" t="s">
        <v>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G14" sqref="G14"/>
    </sheetView>
  </sheetViews>
  <sheetFormatPr baseColWidth="10" defaultRowHeight="15" x14ac:dyDescent="0.25"/>
  <sheetData>
    <row r="1" spans="1:9" ht="16.5" thickBot="1" x14ac:dyDescent="0.3">
      <c r="A1" s="3"/>
      <c r="B1" s="4" t="s">
        <v>22</v>
      </c>
      <c r="C1" s="4" t="s">
        <v>23</v>
      </c>
      <c r="D1" s="1" t="s">
        <v>21</v>
      </c>
      <c r="E1" s="1" t="s">
        <v>19</v>
      </c>
      <c r="F1" s="1" t="s">
        <v>20</v>
      </c>
      <c r="H1" s="1" t="s">
        <v>7</v>
      </c>
      <c r="I1" s="1" t="s">
        <v>8</v>
      </c>
    </row>
    <row r="2" spans="1:9" ht="15.75" thickBot="1" x14ac:dyDescent="0.3">
      <c r="A2" s="5" t="s">
        <v>2</v>
      </c>
      <c r="B2" s="6">
        <v>-2</v>
      </c>
      <c r="C2" s="6">
        <v>-2</v>
      </c>
      <c r="D2" s="1">
        <v>15</v>
      </c>
      <c r="E2" s="1">
        <f ca="1">MOD(E2+D2,135)</f>
        <v>60</v>
      </c>
      <c r="F2" s="2">
        <f ca="1">RADIANS(E2)</f>
        <v>1.0471975511965976</v>
      </c>
      <c r="H2" s="2">
        <f ca="1">B9*COS($F$2)-C9*SIN($F$2)</f>
        <v>-1.0669872981077813</v>
      </c>
      <c r="I2" s="2">
        <f ca="1">B9*SIN($F$2)+C9*COS($F$2)</f>
        <v>-2.848076211353316</v>
      </c>
    </row>
    <row r="3" spans="1:9" ht="15.75" thickBot="1" x14ac:dyDescent="0.3">
      <c r="A3" s="5" t="s">
        <v>3</v>
      </c>
      <c r="B3" s="6">
        <v>-2</v>
      </c>
      <c r="C3" s="6">
        <v>-5</v>
      </c>
      <c r="H3" s="2">
        <f ca="1">B10*COS($F$2)-C10*SIN($F$2)</f>
        <v>1.9330127018922196</v>
      </c>
      <c r="I3" s="2">
        <f t="shared" ref="I3:I11" ca="1" si="0">B10*SIN($F$2)+C10*COS($F$2)</f>
        <v>2.348076211353316</v>
      </c>
    </row>
    <row r="4" spans="1:9" ht="15.75" thickBot="1" x14ac:dyDescent="0.3">
      <c r="A4" s="5" t="s">
        <v>4</v>
      </c>
      <c r="B4" s="6">
        <v>2</v>
      </c>
      <c r="C4" s="6">
        <v>-5</v>
      </c>
      <c r="H4" s="2">
        <f ca="1">B11*COS($F$2)-C11*SIN($F$2)</f>
        <v>1.0669872981077813</v>
      </c>
      <c r="I4" s="2">
        <f t="shared" ca="1" si="0"/>
        <v>2.848076211353316</v>
      </c>
    </row>
    <row r="5" spans="1:9" ht="15.75" thickBot="1" x14ac:dyDescent="0.3">
      <c r="A5" s="5" t="s">
        <v>24</v>
      </c>
      <c r="B5" s="6">
        <v>2</v>
      </c>
      <c r="C5" s="6">
        <v>-2</v>
      </c>
      <c r="H5" s="2">
        <f ca="1">B12*COS($F$2)-C12*SIN($F$2)</f>
        <v>-1.9330127018922196</v>
      </c>
      <c r="I5" s="2">
        <f t="shared" ca="1" si="0"/>
        <v>-2.348076211353316</v>
      </c>
    </row>
    <row r="6" spans="1:9" ht="15.75" thickBot="1" x14ac:dyDescent="0.3">
      <c r="A6" s="5" t="s">
        <v>25</v>
      </c>
      <c r="B6" s="6">
        <v>-2</v>
      </c>
      <c r="C6" s="6">
        <v>-2</v>
      </c>
      <c r="H6" s="2">
        <f t="shared" ref="H6:H11" ca="1" si="1">B13*COS($F$2)-C13*SIN($F$2)</f>
        <v>-1.0669872981077813</v>
      </c>
      <c r="I6" s="2">
        <f ca="1">B13*SIN($F$2)+C13*COS($F$2)</f>
        <v>-2.848076211353316</v>
      </c>
    </row>
    <row r="7" spans="1:9" ht="15.75" thickBot="1" x14ac:dyDescent="0.3">
      <c r="A7" s="5" t="s">
        <v>26</v>
      </c>
      <c r="B7" s="6">
        <v>0</v>
      </c>
      <c r="C7" s="6">
        <v>0</v>
      </c>
      <c r="H7" s="2">
        <f t="shared" ca="1" si="1"/>
        <v>2.348076211353316</v>
      </c>
      <c r="I7" s="2">
        <f t="shared" ca="1" si="0"/>
        <v>-1.9330127018922196</v>
      </c>
    </row>
    <row r="8" spans="1:9" ht="15.75" thickBot="1" x14ac:dyDescent="0.3">
      <c r="A8" s="5" t="s">
        <v>27</v>
      </c>
      <c r="B8" s="6">
        <v>2</v>
      </c>
      <c r="C8" s="6">
        <v>-2</v>
      </c>
      <c r="H8" s="2">
        <f t="shared" ca="1" si="1"/>
        <v>2.848076211353316</v>
      </c>
      <c r="I8" s="2">
        <f t="shared" ca="1" si="0"/>
        <v>-1.0669872981077813</v>
      </c>
    </row>
    <row r="9" spans="1:9" ht="15.75" thickBot="1" x14ac:dyDescent="0.3">
      <c r="A9" s="5" t="s">
        <v>28</v>
      </c>
      <c r="B9" s="6">
        <v>-3</v>
      </c>
      <c r="C9" s="6">
        <v>-0.5</v>
      </c>
      <c r="H9" s="2">
        <f t="shared" ca="1" si="1"/>
        <v>-2.348076211353316</v>
      </c>
      <c r="I9" s="2">
        <f t="shared" ca="1" si="0"/>
        <v>1.9330127018922196</v>
      </c>
    </row>
    <row r="10" spans="1:9" ht="15.75" thickBot="1" x14ac:dyDescent="0.3">
      <c r="A10" s="5" t="s">
        <v>29</v>
      </c>
      <c r="B10" s="6">
        <v>3</v>
      </c>
      <c r="C10" s="6">
        <v>-0.5</v>
      </c>
      <c r="H10" s="2">
        <f t="shared" ca="1" si="1"/>
        <v>-2.848076211353316</v>
      </c>
      <c r="I10" s="2">
        <f t="shared" ca="1" si="0"/>
        <v>1.0669872981077813</v>
      </c>
    </row>
    <row r="11" spans="1:9" ht="15.75" thickBot="1" x14ac:dyDescent="0.3">
      <c r="A11" s="5" t="s">
        <v>30</v>
      </c>
      <c r="B11" s="6">
        <v>3</v>
      </c>
      <c r="C11" s="6">
        <v>0.5</v>
      </c>
      <c r="H11" s="2">
        <f t="shared" ca="1" si="1"/>
        <v>2.348076211353316</v>
      </c>
      <c r="I11" s="2">
        <f t="shared" ca="1" si="0"/>
        <v>-1.9330127018922196</v>
      </c>
    </row>
    <row r="12" spans="1:9" ht="15.75" thickBot="1" x14ac:dyDescent="0.3">
      <c r="A12" s="5" t="s">
        <v>31</v>
      </c>
      <c r="B12" s="6">
        <v>-3</v>
      </c>
      <c r="C12" s="6">
        <v>0.5</v>
      </c>
      <c r="H12" s="2"/>
      <c r="I12" s="2"/>
    </row>
    <row r="13" spans="1:9" ht="15.75" thickBot="1" x14ac:dyDescent="0.3">
      <c r="A13" s="5" t="s">
        <v>32</v>
      </c>
      <c r="B13" s="6">
        <v>-3</v>
      </c>
      <c r="C13" s="6">
        <v>-0.5</v>
      </c>
    </row>
    <row r="14" spans="1:9" ht="15.75" thickBot="1" x14ac:dyDescent="0.3">
      <c r="A14" s="5" t="s">
        <v>33</v>
      </c>
      <c r="B14" s="6">
        <v>-0.5</v>
      </c>
      <c r="C14" s="6">
        <v>-3</v>
      </c>
    </row>
    <row r="15" spans="1:9" ht="15.75" thickBot="1" x14ac:dyDescent="0.3">
      <c r="A15" s="5" t="s">
        <v>34</v>
      </c>
      <c r="B15" s="6">
        <v>0.5</v>
      </c>
      <c r="C15" s="6">
        <v>-3</v>
      </c>
    </row>
    <row r="16" spans="1:9" ht="15.75" thickBot="1" x14ac:dyDescent="0.3">
      <c r="A16" s="5" t="s">
        <v>35</v>
      </c>
      <c r="B16" s="6">
        <v>0.5</v>
      </c>
      <c r="C16" s="6">
        <v>3</v>
      </c>
    </row>
    <row r="17" spans="1:3" ht="15.75" thickBot="1" x14ac:dyDescent="0.3">
      <c r="A17" s="5" t="s">
        <v>36</v>
      </c>
      <c r="B17" s="6">
        <v>-0.5</v>
      </c>
      <c r="C17" s="6">
        <v>3</v>
      </c>
    </row>
    <row r="18" spans="1:3" ht="15.75" thickBot="1" x14ac:dyDescent="0.3">
      <c r="A18" s="5" t="s">
        <v>37</v>
      </c>
      <c r="B18" s="6">
        <v>-0.5</v>
      </c>
      <c r="C18" s="6">
        <v>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zoomScale="80" zoomScaleNormal="80" workbookViewId="0">
      <selection activeCell="D2" sqref="D2"/>
    </sheetView>
  </sheetViews>
  <sheetFormatPr baseColWidth="10" defaultRowHeight="15" x14ac:dyDescent="0.25"/>
  <sheetData>
    <row r="1" spans="1:9" ht="16.5" thickBot="1" x14ac:dyDescent="0.3">
      <c r="A1" s="3"/>
      <c r="B1" s="4" t="s">
        <v>22</v>
      </c>
      <c r="C1" s="4" t="s">
        <v>23</v>
      </c>
      <c r="D1" s="1" t="s">
        <v>21</v>
      </c>
      <c r="E1" s="1" t="s">
        <v>19</v>
      </c>
      <c r="F1" s="1" t="s">
        <v>20</v>
      </c>
      <c r="H1" s="1" t="s">
        <v>7</v>
      </c>
      <c r="I1" s="1" t="s">
        <v>8</v>
      </c>
    </row>
    <row r="2" spans="1:9" ht="15.75" thickBot="1" x14ac:dyDescent="0.3">
      <c r="A2" s="5" t="s">
        <v>2</v>
      </c>
      <c r="B2" s="6">
        <v>1</v>
      </c>
      <c r="C2" s="6">
        <v>4</v>
      </c>
      <c r="D2" s="1">
        <v>15</v>
      </c>
      <c r="E2" s="1">
        <f ca="1">MOD(E2+D2,360)</f>
        <v>180</v>
      </c>
      <c r="F2" s="2">
        <f ca="1">RADIANS(E2)</f>
        <v>3.1415926535897931</v>
      </c>
      <c r="H2" s="2">
        <f ca="1">B9*COS($F$2)-C9*SIN($F$2)</f>
        <v>-6.7383165019974101E-16</v>
      </c>
      <c r="I2" s="2">
        <f ca="1">B9*SIN($F$2)+C9*COS($F$2)</f>
        <v>-5.5</v>
      </c>
    </row>
    <row r="3" spans="1:9" ht="15.75" thickBot="1" x14ac:dyDescent="0.3">
      <c r="A3" s="5" t="s">
        <v>3</v>
      </c>
      <c r="B3" s="6">
        <v>1</v>
      </c>
      <c r="C3" s="6">
        <v>1</v>
      </c>
      <c r="H3" s="2">
        <f ca="1">B10*COS($F$2)-C10*SIN($F$2)</f>
        <v>-6.0000000000000009</v>
      </c>
      <c r="I3" s="2">
        <f t="shared" ref="I3:I11" ca="1" si="0">B10*SIN($F$2)+C10*COS($F$2)</f>
        <v>-5.4999999999999991</v>
      </c>
    </row>
    <row r="4" spans="1:9" ht="15.75" thickBot="1" x14ac:dyDescent="0.3">
      <c r="A4" s="5" t="s">
        <v>4</v>
      </c>
      <c r="B4" s="6">
        <v>5</v>
      </c>
      <c r="C4" s="6">
        <v>1</v>
      </c>
      <c r="H4" s="2">
        <f ca="1">B11*COS($F$2)-C11*SIN($F$2)</f>
        <v>-6.0000000000000009</v>
      </c>
      <c r="I4" s="2">
        <f t="shared" ca="1" si="0"/>
        <v>-6.4999999999999991</v>
      </c>
    </row>
    <row r="5" spans="1:9" ht="15.75" thickBot="1" x14ac:dyDescent="0.3">
      <c r="A5" s="5" t="s">
        <v>24</v>
      </c>
      <c r="B5" s="6">
        <v>5</v>
      </c>
      <c r="C5" s="6">
        <v>4</v>
      </c>
      <c r="H5" s="2">
        <f ca="1">B12*COS($F$2)-C12*SIN($F$2)</f>
        <v>-7.9634649569060301E-16</v>
      </c>
      <c r="I5" s="2">
        <f t="shared" ca="1" si="0"/>
        <v>-6.5</v>
      </c>
    </row>
    <row r="6" spans="1:9" ht="15.75" thickBot="1" x14ac:dyDescent="0.3">
      <c r="A6" s="5" t="s">
        <v>25</v>
      </c>
      <c r="B6" s="6">
        <v>1</v>
      </c>
      <c r="C6" s="6">
        <v>4</v>
      </c>
      <c r="H6" s="2">
        <f t="shared" ref="H6:H11" ca="1" si="1">B13*COS($F$2)-C13*SIN($F$2)</f>
        <v>-6.7383165019974101E-16</v>
      </c>
      <c r="I6" s="2">
        <f ca="1">B13*SIN($F$2)+C13*COS($F$2)</f>
        <v>-5.5</v>
      </c>
    </row>
    <row r="7" spans="1:9" ht="15.75" thickBot="1" x14ac:dyDescent="0.3">
      <c r="A7" s="5" t="s">
        <v>26</v>
      </c>
      <c r="B7" s="6">
        <v>3</v>
      </c>
      <c r="C7" s="6">
        <v>6</v>
      </c>
      <c r="H7" s="2">
        <f t="shared" ca="1" si="1"/>
        <v>-2.5000000000000004</v>
      </c>
      <c r="I7" s="2">
        <f t="shared" ca="1" si="0"/>
        <v>-2.9999999999999996</v>
      </c>
    </row>
    <row r="8" spans="1:9" ht="15.75" thickBot="1" x14ac:dyDescent="0.3">
      <c r="A8" s="5" t="s">
        <v>27</v>
      </c>
      <c r="B8" s="6">
        <v>5</v>
      </c>
      <c r="C8" s="6">
        <v>4</v>
      </c>
      <c r="H8" s="2">
        <f t="shared" ca="1" si="1"/>
        <v>-3.5000000000000004</v>
      </c>
      <c r="I8" s="2">
        <f t="shared" ca="1" si="0"/>
        <v>-2.9999999999999996</v>
      </c>
    </row>
    <row r="9" spans="1:9" ht="15.75" thickBot="1" x14ac:dyDescent="0.3">
      <c r="A9" s="5" t="s">
        <v>28</v>
      </c>
      <c r="B9" s="6">
        <v>0</v>
      </c>
      <c r="C9" s="6">
        <v>5.5</v>
      </c>
      <c r="H9" s="2">
        <f t="shared" ca="1" si="1"/>
        <v>-3.5000000000000009</v>
      </c>
      <c r="I9" s="2">
        <f t="shared" ca="1" si="0"/>
        <v>-9</v>
      </c>
    </row>
    <row r="10" spans="1:9" ht="15.75" thickBot="1" x14ac:dyDescent="0.3">
      <c r="A10" s="5" t="s">
        <v>29</v>
      </c>
      <c r="B10" s="6">
        <v>6</v>
      </c>
      <c r="C10" s="6">
        <v>5.5</v>
      </c>
      <c r="H10" s="2">
        <f t="shared" ca="1" si="1"/>
        <v>-2.5000000000000009</v>
      </c>
      <c r="I10" s="2">
        <f t="shared" ca="1" si="0"/>
        <v>-9</v>
      </c>
    </row>
    <row r="11" spans="1:9" ht="15.75" thickBot="1" x14ac:dyDescent="0.3">
      <c r="A11" s="5" t="s">
        <v>30</v>
      </c>
      <c r="B11" s="6">
        <v>6</v>
      </c>
      <c r="C11" s="6">
        <v>6.5</v>
      </c>
      <c r="H11" s="2">
        <f t="shared" ca="1" si="1"/>
        <v>-2.5000000000000004</v>
      </c>
      <c r="I11" s="2">
        <f t="shared" ca="1" si="0"/>
        <v>-2.9999999999999996</v>
      </c>
    </row>
    <row r="12" spans="1:9" ht="15.75" thickBot="1" x14ac:dyDescent="0.3">
      <c r="A12" s="5" t="s">
        <v>31</v>
      </c>
      <c r="B12" s="6">
        <v>0</v>
      </c>
      <c r="C12" s="6">
        <v>6.5</v>
      </c>
    </row>
    <row r="13" spans="1:9" ht="15.75" thickBot="1" x14ac:dyDescent="0.3">
      <c r="A13" s="5" t="s">
        <v>32</v>
      </c>
      <c r="B13" s="6">
        <v>0</v>
      </c>
      <c r="C13" s="6">
        <v>5.5</v>
      </c>
    </row>
    <row r="14" spans="1:9" ht="15.75" thickBot="1" x14ac:dyDescent="0.3">
      <c r="A14" s="5" t="s">
        <v>33</v>
      </c>
      <c r="B14" s="6">
        <v>2.5</v>
      </c>
      <c r="C14" s="6">
        <v>3</v>
      </c>
    </row>
    <row r="15" spans="1:9" ht="15.75" thickBot="1" x14ac:dyDescent="0.3">
      <c r="A15" s="5" t="s">
        <v>34</v>
      </c>
      <c r="B15" s="6">
        <v>3.5</v>
      </c>
      <c r="C15" s="6">
        <v>3</v>
      </c>
    </row>
    <row r="16" spans="1:9" ht="15.75" thickBot="1" x14ac:dyDescent="0.3">
      <c r="A16" s="5" t="s">
        <v>35</v>
      </c>
      <c r="B16" s="6">
        <v>3.5</v>
      </c>
      <c r="C16" s="6">
        <v>9</v>
      </c>
    </row>
    <row r="17" spans="1:3" ht="15.75" thickBot="1" x14ac:dyDescent="0.3">
      <c r="A17" s="5" t="s">
        <v>36</v>
      </c>
      <c r="B17" s="6">
        <v>2.5</v>
      </c>
      <c r="C17" s="6">
        <v>9</v>
      </c>
    </row>
    <row r="18" spans="1:3" ht="15.75" thickBot="1" x14ac:dyDescent="0.3">
      <c r="A18" s="5" t="s">
        <v>37</v>
      </c>
      <c r="B18" s="6">
        <v>2.5</v>
      </c>
      <c r="C18" s="6">
        <v>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zoomScale="90" zoomScaleNormal="90" workbookViewId="0">
      <selection activeCell="F2" sqref="F2"/>
    </sheetView>
  </sheetViews>
  <sheetFormatPr baseColWidth="10" defaultRowHeight="15" x14ac:dyDescent="0.25"/>
  <cols>
    <col min="5" max="5" width="11.85546875" bestFit="1" customWidth="1"/>
  </cols>
  <sheetData>
    <row r="1" spans="1:12" ht="16.5" thickBot="1" x14ac:dyDescent="0.3">
      <c r="A1" s="3"/>
      <c r="B1" s="4" t="s">
        <v>22</v>
      </c>
      <c r="C1" s="4" t="s">
        <v>23</v>
      </c>
      <c r="D1" s="1" t="s">
        <v>21</v>
      </c>
      <c r="E1" s="1" t="s">
        <v>19</v>
      </c>
      <c r="F1" s="1" t="s">
        <v>20</v>
      </c>
    </row>
    <row r="2" spans="1:12" ht="15.75" thickBot="1" x14ac:dyDescent="0.3">
      <c r="A2" s="5" t="s">
        <v>2</v>
      </c>
      <c r="B2" s="6">
        <v>1</v>
      </c>
      <c r="C2" s="6">
        <v>4</v>
      </c>
      <c r="D2" s="1">
        <v>15</v>
      </c>
      <c r="E2" s="1">
        <f ca="1">MOD(E2+D2,360)</f>
        <v>90</v>
      </c>
      <c r="F2" s="2">
        <f ca="1">RADIANS(E2)</f>
        <v>1.5707963267948966</v>
      </c>
      <c r="G2" t="s">
        <v>41</v>
      </c>
    </row>
    <row r="3" spans="1:12" ht="15.75" thickBot="1" x14ac:dyDescent="0.3">
      <c r="A3" s="5" t="s">
        <v>3</v>
      </c>
      <c r="B3" s="6">
        <v>1</v>
      </c>
      <c r="C3" s="6">
        <v>1</v>
      </c>
      <c r="G3">
        <f ca="1">COS(F2)</f>
        <v>6.1257422745431001E-17</v>
      </c>
      <c r="H3">
        <f ca="1">SIN(F2)</f>
        <v>1</v>
      </c>
    </row>
    <row r="4" spans="1:12" ht="15.75" thickBot="1" x14ac:dyDescent="0.3">
      <c r="A4" s="5" t="s">
        <v>4</v>
      </c>
      <c r="B4" s="6">
        <v>5</v>
      </c>
      <c r="C4" s="6">
        <v>1</v>
      </c>
      <c r="D4" t="s">
        <v>38</v>
      </c>
      <c r="E4" t="s">
        <v>39</v>
      </c>
      <c r="G4">
        <f ca="1">-SIN(F2)</f>
        <v>-1</v>
      </c>
      <c r="H4">
        <f ca="1">COS(F2)</f>
        <v>6.1257422745431001E-17</v>
      </c>
    </row>
    <row r="5" spans="1:12" ht="15.75" thickBot="1" x14ac:dyDescent="0.3">
      <c r="A5" s="5" t="s">
        <v>24</v>
      </c>
      <c r="B5" s="6">
        <v>5</v>
      </c>
      <c r="C5" s="6">
        <v>4</v>
      </c>
      <c r="D5">
        <v>3</v>
      </c>
      <c r="E5">
        <v>6</v>
      </c>
    </row>
    <row r="6" spans="1:12" ht="15.75" thickBot="1" x14ac:dyDescent="0.3">
      <c r="A6" s="5" t="s">
        <v>25</v>
      </c>
      <c r="B6" s="6">
        <v>1</v>
      </c>
      <c r="C6" s="6">
        <v>4</v>
      </c>
    </row>
    <row r="7" spans="1:12" ht="15.75" thickBot="1" x14ac:dyDescent="0.3">
      <c r="A7" s="5" t="s">
        <v>26</v>
      </c>
      <c r="B7" s="6">
        <v>3</v>
      </c>
      <c r="C7" s="6">
        <v>6</v>
      </c>
      <c r="E7" t="s">
        <v>40</v>
      </c>
    </row>
    <row r="8" spans="1:12" ht="15.75" thickBot="1" x14ac:dyDescent="0.3">
      <c r="A8" s="5" t="s">
        <v>27</v>
      </c>
      <c r="B8" s="6">
        <v>5</v>
      </c>
      <c r="C8" s="6">
        <v>4</v>
      </c>
      <c r="E8" s="1" t="s">
        <v>7</v>
      </c>
      <c r="F8" s="1" t="s">
        <v>8</v>
      </c>
      <c r="H8" t="s">
        <v>42</v>
      </c>
      <c r="I8" t="s">
        <v>43</v>
      </c>
      <c r="K8" t="s">
        <v>44</v>
      </c>
      <c r="L8" t="s">
        <v>45</v>
      </c>
    </row>
    <row r="9" spans="1:12" ht="15.75" thickBot="1" x14ac:dyDescent="0.3">
      <c r="A9" s="5" t="s">
        <v>28</v>
      </c>
      <c r="B9" s="6">
        <v>0</v>
      </c>
      <c r="C9" s="6">
        <v>5.5</v>
      </c>
      <c r="E9" s="2">
        <f>B9-$D$5</f>
        <v>-3</v>
      </c>
      <c r="F9" s="2">
        <f>C9-$E$5</f>
        <v>-0.5</v>
      </c>
      <c r="H9">
        <f t="array" aca="1" ref="H9:I18" ca="1">MMULT(E9:F18,G3:H4)</f>
        <v>0.49999999999999983</v>
      </c>
      <c r="I9">
        <f ca="1"/>
        <v>-3</v>
      </c>
      <c r="K9">
        <f t="array" aca="1" ref="K9:L18" ca="1">H9:I18+D5:E5</f>
        <v>3.5</v>
      </c>
      <c r="L9">
        <f ca="1"/>
        <v>3</v>
      </c>
    </row>
    <row r="10" spans="1:12" ht="15.75" thickBot="1" x14ac:dyDescent="0.3">
      <c r="A10" s="5" t="s">
        <v>29</v>
      </c>
      <c r="B10" s="6">
        <v>6</v>
      </c>
      <c r="C10" s="6">
        <v>5.5</v>
      </c>
      <c r="E10" s="2">
        <f t="shared" ref="E10:E18" si="0">B10-$D$5</f>
        <v>3</v>
      </c>
      <c r="F10" s="2">
        <f t="shared" ref="F10:F18" si="1">C10-$E$5</f>
        <v>-0.5</v>
      </c>
      <c r="H10">
        <f ca="1"/>
        <v>0.50000000000000022</v>
      </c>
      <c r="I10">
        <f ca="1"/>
        <v>3</v>
      </c>
      <c r="K10">
        <f ca="1"/>
        <v>3.5</v>
      </c>
      <c r="L10">
        <f ca="1"/>
        <v>9</v>
      </c>
    </row>
    <row r="11" spans="1:12" ht="15.75" thickBot="1" x14ac:dyDescent="0.3">
      <c r="A11" s="5" t="s">
        <v>30</v>
      </c>
      <c r="B11" s="6">
        <v>6</v>
      </c>
      <c r="C11" s="6">
        <v>6.5</v>
      </c>
      <c r="E11" s="2">
        <f t="shared" si="0"/>
        <v>3</v>
      </c>
      <c r="F11" s="2">
        <f t="shared" si="1"/>
        <v>0.5</v>
      </c>
      <c r="H11">
        <f ca="1"/>
        <v>-0.49999999999999983</v>
      </c>
      <c r="I11">
        <f ca="1"/>
        <v>3</v>
      </c>
      <c r="K11">
        <f ca="1"/>
        <v>2.5</v>
      </c>
      <c r="L11">
        <f ca="1"/>
        <v>9</v>
      </c>
    </row>
    <row r="12" spans="1:12" ht="15.75" thickBot="1" x14ac:dyDescent="0.3">
      <c r="A12" s="5" t="s">
        <v>31</v>
      </c>
      <c r="B12" s="6">
        <v>0</v>
      </c>
      <c r="C12" s="6">
        <v>6.5</v>
      </c>
      <c r="E12" s="2">
        <f t="shared" si="0"/>
        <v>-3</v>
      </c>
      <c r="F12" s="2">
        <f t="shared" si="1"/>
        <v>0.5</v>
      </c>
      <c r="H12">
        <f ca="1"/>
        <v>-0.50000000000000022</v>
      </c>
      <c r="I12">
        <f ca="1"/>
        <v>-3</v>
      </c>
      <c r="K12">
        <f ca="1"/>
        <v>2.5</v>
      </c>
      <c r="L12">
        <f ca="1"/>
        <v>3</v>
      </c>
    </row>
    <row r="13" spans="1:12" ht="15.75" thickBot="1" x14ac:dyDescent="0.3">
      <c r="A13" s="5" t="s">
        <v>32</v>
      </c>
      <c r="B13" s="6">
        <v>0</v>
      </c>
      <c r="C13" s="6">
        <v>5.5</v>
      </c>
      <c r="E13" s="2">
        <f t="shared" si="0"/>
        <v>-3</v>
      </c>
      <c r="F13" s="2">
        <f t="shared" si="1"/>
        <v>-0.5</v>
      </c>
      <c r="H13">
        <f ca="1"/>
        <v>0.49999999999999983</v>
      </c>
      <c r="I13">
        <f ca="1"/>
        <v>-3</v>
      </c>
      <c r="K13">
        <f ca="1"/>
        <v>3.5</v>
      </c>
      <c r="L13">
        <f ca="1"/>
        <v>3</v>
      </c>
    </row>
    <row r="14" spans="1:12" ht="15.75" thickBot="1" x14ac:dyDescent="0.3">
      <c r="A14" s="5" t="s">
        <v>33</v>
      </c>
      <c r="B14" s="6">
        <v>2.5</v>
      </c>
      <c r="C14" s="6">
        <v>3</v>
      </c>
      <c r="E14" s="2">
        <f t="shared" si="0"/>
        <v>-0.5</v>
      </c>
      <c r="F14" s="2">
        <f t="shared" si="1"/>
        <v>-3</v>
      </c>
      <c r="H14">
        <f ca="1"/>
        <v>3</v>
      </c>
      <c r="I14">
        <f ca="1"/>
        <v>-0.50000000000000022</v>
      </c>
      <c r="K14">
        <f ca="1"/>
        <v>6</v>
      </c>
      <c r="L14">
        <f ca="1"/>
        <v>5.5</v>
      </c>
    </row>
    <row r="15" spans="1:12" ht="15.75" thickBot="1" x14ac:dyDescent="0.3">
      <c r="A15" s="5" t="s">
        <v>34</v>
      </c>
      <c r="B15" s="6">
        <v>3.5</v>
      </c>
      <c r="C15" s="6">
        <v>3</v>
      </c>
      <c r="E15" s="2">
        <f t="shared" si="0"/>
        <v>0.5</v>
      </c>
      <c r="F15" s="2">
        <f t="shared" si="1"/>
        <v>-3</v>
      </c>
      <c r="H15">
        <f ca="1"/>
        <v>3</v>
      </c>
      <c r="I15">
        <f ca="1"/>
        <v>0.49999999999999983</v>
      </c>
      <c r="K15">
        <f ca="1"/>
        <v>6</v>
      </c>
      <c r="L15">
        <f ca="1"/>
        <v>6.5</v>
      </c>
    </row>
    <row r="16" spans="1:12" ht="15.75" thickBot="1" x14ac:dyDescent="0.3">
      <c r="A16" s="5" t="s">
        <v>35</v>
      </c>
      <c r="B16" s="6">
        <v>3.5</v>
      </c>
      <c r="C16" s="6">
        <v>9</v>
      </c>
      <c r="E16" s="2">
        <f t="shared" si="0"/>
        <v>0.5</v>
      </c>
      <c r="F16" s="2">
        <f t="shared" si="1"/>
        <v>3</v>
      </c>
      <c r="H16">
        <f ca="1"/>
        <v>-3</v>
      </c>
      <c r="I16">
        <f ca="1"/>
        <v>0.50000000000000022</v>
      </c>
      <c r="K16">
        <f ca="1"/>
        <v>0</v>
      </c>
      <c r="L16">
        <f ca="1"/>
        <v>6.5</v>
      </c>
    </row>
    <row r="17" spans="1:12" ht="15.75" thickBot="1" x14ac:dyDescent="0.3">
      <c r="A17" s="5" t="s">
        <v>36</v>
      </c>
      <c r="B17" s="6">
        <v>2.5</v>
      </c>
      <c r="C17" s="6">
        <v>9</v>
      </c>
      <c r="E17" s="2">
        <f t="shared" si="0"/>
        <v>-0.5</v>
      </c>
      <c r="F17" s="2">
        <f t="shared" si="1"/>
        <v>3</v>
      </c>
      <c r="H17">
        <f ca="1"/>
        <v>-3</v>
      </c>
      <c r="I17">
        <f ca="1"/>
        <v>-0.49999999999999983</v>
      </c>
      <c r="K17">
        <f ca="1"/>
        <v>0</v>
      </c>
      <c r="L17">
        <f ca="1"/>
        <v>5.5</v>
      </c>
    </row>
    <row r="18" spans="1:12" ht="15.75" thickBot="1" x14ac:dyDescent="0.3">
      <c r="A18" s="5" t="s">
        <v>37</v>
      </c>
      <c r="B18" s="6">
        <v>2.5</v>
      </c>
      <c r="C18" s="6">
        <v>3</v>
      </c>
      <c r="E18" s="2">
        <f t="shared" si="0"/>
        <v>-0.5</v>
      </c>
      <c r="F18" s="2">
        <f t="shared" si="1"/>
        <v>-3</v>
      </c>
      <c r="H18">
        <f ca="1"/>
        <v>3</v>
      </c>
      <c r="I18">
        <f ca="1"/>
        <v>-0.50000000000000022</v>
      </c>
      <c r="K18">
        <f ca="1"/>
        <v>6</v>
      </c>
      <c r="L18">
        <f ca="1"/>
        <v>5.5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zoomScale="90" zoomScaleNormal="90" workbookViewId="0">
      <selection activeCell="N25" sqref="N25"/>
    </sheetView>
  </sheetViews>
  <sheetFormatPr baseColWidth="10" defaultRowHeight="15" x14ac:dyDescent="0.25"/>
  <cols>
    <col min="1" max="1" width="11.85546875" bestFit="1" customWidth="1"/>
    <col min="8" max="8" width="11.85546875" bestFit="1" customWidth="1"/>
  </cols>
  <sheetData>
    <row r="1" spans="1:18" ht="16.5" thickBot="1" x14ac:dyDescent="0.3">
      <c r="A1" s="3"/>
      <c r="B1" s="5" t="s">
        <v>2</v>
      </c>
      <c r="C1" s="5" t="s">
        <v>3</v>
      </c>
      <c r="D1" s="5" t="s">
        <v>4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5" t="s">
        <v>34</v>
      </c>
      <c r="P1" s="5" t="s">
        <v>35</v>
      </c>
      <c r="Q1" s="5" t="s">
        <v>36</v>
      </c>
      <c r="R1" s="5" t="s">
        <v>37</v>
      </c>
    </row>
    <row r="2" spans="1:18" ht="15.75" thickBot="1" x14ac:dyDescent="0.3">
      <c r="A2" s="4" t="s">
        <v>22</v>
      </c>
      <c r="B2" s="6">
        <v>1</v>
      </c>
      <c r="C2" s="6">
        <v>1</v>
      </c>
      <c r="D2" s="6">
        <v>5</v>
      </c>
      <c r="E2" s="6">
        <v>5</v>
      </c>
      <c r="F2" s="6">
        <v>1</v>
      </c>
      <c r="G2" s="6">
        <v>3</v>
      </c>
      <c r="H2" s="6">
        <v>5</v>
      </c>
      <c r="I2" s="6">
        <v>0</v>
      </c>
      <c r="J2" s="6">
        <v>6</v>
      </c>
      <c r="K2" s="6">
        <v>6</v>
      </c>
      <c r="L2" s="6">
        <v>0</v>
      </c>
      <c r="M2" s="6">
        <v>0</v>
      </c>
      <c r="N2" s="6">
        <v>2.5</v>
      </c>
      <c r="O2" s="6">
        <v>3.5</v>
      </c>
      <c r="P2" s="6">
        <v>3.5</v>
      </c>
      <c r="Q2" s="6">
        <v>2.5</v>
      </c>
      <c r="R2" s="6">
        <v>2.5</v>
      </c>
    </row>
    <row r="3" spans="1:18" ht="15.75" thickBot="1" x14ac:dyDescent="0.3">
      <c r="A3" s="4" t="s">
        <v>23</v>
      </c>
      <c r="B3" s="6">
        <v>4</v>
      </c>
      <c r="C3" s="6">
        <v>1</v>
      </c>
      <c r="D3" s="6">
        <v>1</v>
      </c>
      <c r="E3" s="6">
        <v>4</v>
      </c>
      <c r="F3" s="6">
        <v>4</v>
      </c>
      <c r="G3" s="6">
        <v>6</v>
      </c>
      <c r="H3" s="6">
        <v>4</v>
      </c>
      <c r="I3" s="6">
        <v>5.5</v>
      </c>
      <c r="J3" s="6">
        <v>5.5</v>
      </c>
      <c r="K3" s="6">
        <v>6.5</v>
      </c>
      <c r="L3" s="6">
        <v>6.5</v>
      </c>
      <c r="M3" s="6">
        <v>5.5</v>
      </c>
      <c r="N3" s="6">
        <v>3</v>
      </c>
      <c r="O3" s="6">
        <v>3</v>
      </c>
      <c r="P3" s="6">
        <v>9</v>
      </c>
      <c r="Q3" s="6">
        <v>9</v>
      </c>
      <c r="R3" s="6">
        <v>3</v>
      </c>
    </row>
    <row r="5" spans="1:18" x14ac:dyDescent="0.25">
      <c r="A5" t="s">
        <v>5</v>
      </c>
      <c r="B5">
        <v>3</v>
      </c>
      <c r="F5" t="s">
        <v>51</v>
      </c>
      <c r="H5" t="s">
        <v>7</v>
      </c>
      <c r="I5">
        <f t="array" ref="I5:R6">B5:B6-I2:R3</f>
        <v>3</v>
      </c>
      <c r="J5">
        <v>-3</v>
      </c>
      <c r="K5">
        <v>-3</v>
      </c>
      <c r="L5">
        <v>3</v>
      </c>
      <c r="M5">
        <v>3</v>
      </c>
      <c r="N5">
        <v>0.5</v>
      </c>
      <c r="O5">
        <v>-0.5</v>
      </c>
      <c r="P5">
        <v>-0.5</v>
      </c>
      <c r="Q5">
        <v>0.5</v>
      </c>
      <c r="R5">
        <v>0.5</v>
      </c>
    </row>
    <row r="6" spans="1:18" x14ac:dyDescent="0.25">
      <c r="A6" t="s">
        <v>6</v>
      </c>
      <c r="B6">
        <v>6</v>
      </c>
      <c r="H6" t="s">
        <v>8</v>
      </c>
      <c r="I6">
        <v>0.5</v>
      </c>
      <c r="J6">
        <v>0.5</v>
      </c>
      <c r="K6">
        <v>-0.5</v>
      </c>
      <c r="L6">
        <v>-0.5</v>
      </c>
      <c r="M6">
        <v>0.5</v>
      </c>
      <c r="N6">
        <v>3</v>
      </c>
      <c r="O6">
        <v>3</v>
      </c>
      <c r="P6">
        <v>-3</v>
      </c>
      <c r="Q6">
        <v>-3</v>
      </c>
      <c r="R6">
        <v>3</v>
      </c>
    </row>
    <row r="8" spans="1:18" x14ac:dyDescent="0.25">
      <c r="A8" t="s">
        <v>46</v>
      </c>
      <c r="B8">
        <v>5</v>
      </c>
      <c r="F8" t="s">
        <v>50</v>
      </c>
      <c r="H8" t="s">
        <v>42</v>
      </c>
      <c r="I8">
        <f t="array" aca="1" ref="I8:R9" ca="1">MMULT(A14:B15,I5:R6)</f>
        <v>3.0271870014184632</v>
      </c>
      <c r="J8">
        <f ca="1"/>
        <v>-2.7683679563159362</v>
      </c>
      <c r="K8">
        <f ca="1"/>
        <v>-3.0271870014184632</v>
      </c>
      <c r="L8">
        <f ca="1"/>
        <v>2.7683679563159362</v>
      </c>
      <c r="M8">
        <f ca="1"/>
        <v>3.0271870014184632</v>
      </c>
      <c r="N8">
        <f ca="1"/>
        <v>1.2594200484521147</v>
      </c>
      <c r="O8">
        <f ca="1"/>
        <v>0.29349422216304827</v>
      </c>
      <c r="P8">
        <f ca="1"/>
        <v>-1.2594200484521147</v>
      </c>
      <c r="Q8">
        <f ca="1"/>
        <v>-0.29349422216304827</v>
      </c>
      <c r="R8">
        <f ca="1"/>
        <v>1.2594200484521147</v>
      </c>
    </row>
    <row r="9" spans="1:18" x14ac:dyDescent="0.25">
      <c r="A9" t="s">
        <v>47</v>
      </c>
      <c r="B9">
        <f ca="1">B9+B8</f>
        <v>7550</v>
      </c>
      <c r="H9" t="s">
        <v>43</v>
      </c>
      <c r="I9">
        <f ca="1"/>
        <v>-0.29349422216304827</v>
      </c>
      <c r="J9">
        <f ca="1"/>
        <v>1.2594200484521147</v>
      </c>
      <c r="K9">
        <f ca="1"/>
        <v>0.29349422216304827</v>
      </c>
      <c r="L9">
        <f ca="1"/>
        <v>-1.2594200484521147</v>
      </c>
      <c r="M9">
        <f ca="1"/>
        <v>-0.29349422216304827</v>
      </c>
      <c r="N9">
        <f ca="1"/>
        <v>2.7683679563159362</v>
      </c>
      <c r="O9">
        <f ca="1"/>
        <v>3.0271870014184632</v>
      </c>
      <c r="P9">
        <f ca="1"/>
        <v>-2.7683679563159362</v>
      </c>
      <c r="Q9">
        <f ca="1"/>
        <v>-3.0271870014184632</v>
      </c>
      <c r="R9">
        <f ca="1"/>
        <v>2.7683679563159362</v>
      </c>
    </row>
    <row r="10" spans="1:18" x14ac:dyDescent="0.25">
      <c r="A10" t="s">
        <v>48</v>
      </c>
      <c r="B10">
        <f ca="1">RADIANS(B9)</f>
        <v>131.77235852557189</v>
      </c>
    </row>
    <row r="11" spans="1:18" x14ac:dyDescent="0.25">
      <c r="F11" t="s">
        <v>51</v>
      </c>
      <c r="H11" t="s">
        <v>44</v>
      </c>
      <c r="I11">
        <f t="array" aca="1" ref="I11:R12" ca="1">B5:B6+I8:R9</f>
        <v>6.0271870014184632</v>
      </c>
      <c r="J11">
        <f ca="1"/>
        <v>0.23163204368406376</v>
      </c>
      <c r="K11">
        <f ca="1"/>
        <v>-2.7187001418463197E-2</v>
      </c>
      <c r="L11">
        <f ca="1"/>
        <v>5.7683679563159362</v>
      </c>
      <c r="M11">
        <f ca="1"/>
        <v>6.0271870014184632</v>
      </c>
      <c r="N11">
        <f ca="1"/>
        <v>4.2594200484521147</v>
      </c>
      <c r="O11">
        <f ca="1"/>
        <v>3.2934942221630483</v>
      </c>
      <c r="P11">
        <f ca="1"/>
        <v>1.7405799515478853</v>
      </c>
      <c r="Q11">
        <f ca="1"/>
        <v>2.7065057778369517</v>
      </c>
      <c r="R11">
        <f ca="1"/>
        <v>4.2594200484521147</v>
      </c>
    </row>
    <row r="12" spans="1:18" x14ac:dyDescent="0.25">
      <c r="H12" t="s">
        <v>45</v>
      </c>
      <c r="I12">
        <f ca="1"/>
        <v>5.7065057778369521</v>
      </c>
      <c r="J12">
        <f ca="1"/>
        <v>7.2594200484521147</v>
      </c>
      <c r="K12">
        <f ca="1"/>
        <v>6.2934942221630479</v>
      </c>
      <c r="L12">
        <f ca="1"/>
        <v>4.7405799515478853</v>
      </c>
      <c r="M12">
        <f ca="1"/>
        <v>5.7065057778369521</v>
      </c>
      <c r="N12">
        <f ca="1"/>
        <v>8.7683679563159362</v>
      </c>
      <c r="O12">
        <f ca="1"/>
        <v>9.0271870014184632</v>
      </c>
      <c r="P12">
        <f ca="1"/>
        <v>3.2316320436840638</v>
      </c>
      <c r="Q12">
        <f ca="1"/>
        <v>2.9728129985815368</v>
      </c>
      <c r="R12">
        <f ca="1"/>
        <v>8.7683679563159362</v>
      </c>
    </row>
    <row r="13" spans="1:18" x14ac:dyDescent="0.25">
      <c r="A13" t="s">
        <v>49</v>
      </c>
    </row>
    <row r="14" spans="1:18" x14ac:dyDescent="0.25">
      <c r="A14">
        <f ca="1">COS(B10)</f>
        <v>0.98480775301220902</v>
      </c>
      <c r="B14">
        <f ca="1">-SIN(B10)</f>
        <v>0.17364817766692472</v>
      </c>
    </row>
    <row r="15" spans="1:18" x14ac:dyDescent="0.25">
      <c r="A15">
        <f ca="1">SIN(B10)</f>
        <v>-0.17364817766692472</v>
      </c>
      <c r="B15">
        <f ca="1">COS(B10)</f>
        <v>0.98480775301220902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opLeftCell="A7" workbookViewId="0">
      <selection activeCell="I18" sqref="I18"/>
    </sheetView>
  </sheetViews>
  <sheetFormatPr baseColWidth="10" defaultRowHeight="15" x14ac:dyDescent="0.25"/>
  <cols>
    <col min="6" max="6" width="11.85546875" bestFit="1" customWidth="1"/>
  </cols>
  <sheetData>
    <row r="1" spans="1:6" ht="16.5" thickBot="1" x14ac:dyDescent="0.3">
      <c r="A1" s="3"/>
      <c r="B1" s="4" t="s">
        <v>22</v>
      </c>
      <c r="C1" s="4" t="s">
        <v>23</v>
      </c>
      <c r="E1" t="s">
        <v>52</v>
      </c>
      <c r="F1" t="s">
        <v>53</v>
      </c>
    </row>
    <row r="2" spans="1:6" ht="15.75" thickBot="1" x14ac:dyDescent="0.3">
      <c r="A2" s="5" t="s">
        <v>2</v>
      </c>
      <c r="B2" s="6">
        <v>1</v>
      </c>
      <c r="C2" s="6">
        <v>4</v>
      </c>
      <c r="E2">
        <v>3</v>
      </c>
      <c r="F2">
        <v>6</v>
      </c>
    </row>
    <row r="3" spans="1:6" ht="15.75" thickBot="1" x14ac:dyDescent="0.3">
      <c r="A3" s="5" t="s">
        <v>3</v>
      </c>
      <c r="B3" s="6">
        <v>1</v>
      </c>
      <c r="C3" s="6">
        <v>1</v>
      </c>
      <c r="E3" t="s">
        <v>46</v>
      </c>
      <c r="F3">
        <v>5</v>
      </c>
    </row>
    <row r="4" spans="1:6" ht="15.75" thickBot="1" x14ac:dyDescent="0.3">
      <c r="A4" s="5" t="s">
        <v>4</v>
      </c>
      <c r="B4" s="6">
        <v>5</v>
      </c>
      <c r="C4" s="6">
        <v>1</v>
      </c>
      <c r="E4" t="s">
        <v>47</v>
      </c>
      <c r="F4">
        <f ca="1">F4+F3</f>
        <v>6485</v>
      </c>
    </row>
    <row r="5" spans="1:6" ht="15.75" thickBot="1" x14ac:dyDescent="0.3">
      <c r="A5" s="5" t="s">
        <v>24</v>
      </c>
      <c r="B5" s="6">
        <v>5</v>
      </c>
      <c r="C5" s="6">
        <v>4</v>
      </c>
      <c r="E5" t="s">
        <v>48</v>
      </c>
      <c r="F5">
        <f ca="1">RADIANS(F4)</f>
        <v>113.18460199183227</v>
      </c>
    </row>
    <row r="6" spans="1:6" ht="15.75" thickBot="1" x14ac:dyDescent="0.3">
      <c r="A6" s="5" t="s">
        <v>25</v>
      </c>
      <c r="B6" s="6">
        <v>1</v>
      </c>
      <c r="C6" s="6">
        <v>4</v>
      </c>
    </row>
    <row r="7" spans="1:6" ht="15.75" thickBot="1" x14ac:dyDescent="0.3">
      <c r="A7" s="5" t="s">
        <v>26</v>
      </c>
      <c r="B7" s="6">
        <v>3</v>
      </c>
      <c r="C7" s="6">
        <v>6</v>
      </c>
    </row>
    <row r="8" spans="1:6" ht="15.75" thickBot="1" x14ac:dyDescent="0.3">
      <c r="A8" s="5" t="s">
        <v>27</v>
      </c>
      <c r="B8" s="6">
        <v>5</v>
      </c>
      <c r="C8" s="6">
        <v>4</v>
      </c>
      <c r="E8" t="s">
        <v>7</v>
      </c>
      <c r="F8" t="s">
        <v>8</v>
      </c>
    </row>
    <row r="9" spans="1:6" ht="15.75" thickBot="1" x14ac:dyDescent="0.3">
      <c r="A9" s="5" t="s">
        <v>28</v>
      </c>
      <c r="B9" s="6">
        <v>0</v>
      </c>
      <c r="C9" s="6">
        <v>5.5</v>
      </c>
      <c r="E9">
        <f ca="1">$E$2+(B9-$E$2)*COS($F$5)-(C9-$F$2)*SIN($F$5)</f>
        <v>5.4993777098587764E-2</v>
      </c>
      <c r="F9">
        <f ca="1">$F$2+(C9-$F$2)*COS($F$5)+(B9-$E$2)*SIN($F$5)</f>
        <v>5.2404354227111716</v>
      </c>
    </row>
    <row r="10" spans="1:6" ht="15.75" thickBot="1" x14ac:dyDescent="0.3">
      <c r="A10" s="5" t="s">
        <v>29</v>
      </c>
      <c r="B10" s="6">
        <v>6</v>
      </c>
      <c r="C10" s="6">
        <v>5.5</v>
      </c>
      <c r="E10">
        <f t="shared" ref="E10:E18" ca="1" si="0">$E$2+(B10-$E$2)*COS($F$5)-(C10-$F$2)*SIN($F$5)</f>
        <v>6.0321619656490633</v>
      </c>
      <c r="F10">
        <f t="shared" ref="F10:F18" ca="1" si="1">$F$2+(C10-$F$2)*COS($F$5)+(B10-$E$2)*SIN($F$5)</f>
        <v>5.7633698791970831</v>
      </c>
    </row>
    <row r="11" spans="1:6" ht="15.75" thickBot="1" x14ac:dyDescent="0.3">
      <c r="A11" s="5" t="s">
        <v>30</v>
      </c>
      <c r="B11" s="6">
        <v>6</v>
      </c>
      <c r="C11" s="6">
        <v>6.5</v>
      </c>
      <c r="E11">
        <f t="shared" ca="1" si="0"/>
        <v>5.9450062229014122</v>
      </c>
      <c r="F11">
        <f t="shared" ca="1" si="1"/>
        <v>6.7595645772888284</v>
      </c>
    </row>
    <row r="12" spans="1:6" ht="15.75" thickBot="1" x14ac:dyDescent="0.3">
      <c r="A12" s="5" t="s">
        <v>31</v>
      </c>
      <c r="B12" s="6">
        <v>0</v>
      </c>
      <c r="C12" s="6">
        <v>6.5</v>
      </c>
      <c r="E12">
        <f t="shared" ca="1" si="0"/>
        <v>-3.2161965649064143E-2</v>
      </c>
      <c r="F12">
        <f t="shared" ca="1" si="1"/>
        <v>6.2366301208029169</v>
      </c>
    </row>
    <row r="13" spans="1:6" ht="15.75" thickBot="1" x14ac:dyDescent="0.3">
      <c r="A13" s="5" t="s">
        <v>32</v>
      </c>
      <c r="B13" s="6">
        <v>0</v>
      </c>
      <c r="C13" s="6">
        <v>5.5</v>
      </c>
      <c r="E13">
        <f t="shared" ca="1" si="0"/>
        <v>5.4993777098587764E-2</v>
      </c>
      <c r="F13">
        <f t="shared" ca="1" si="1"/>
        <v>5.2404354227111716</v>
      </c>
    </row>
    <row r="14" spans="1:6" ht="15.75" thickBot="1" x14ac:dyDescent="0.3">
      <c r="A14" s="5" t="s">
        <v>33</v>
      </c>
      <c r="B14" s="6">
        <v>2.5</v>
      </c>
      <c r="C14" s="6">
        <v>3</v>
      </c>
      <c r="E14">
        <f t="shared" ca="1" si="0"/>
        <v>2.7633698791970827</v>
      </c>
      <c r="F14">
        <f t="shared" ca="1" si="1"/>
        <v>2.9678380343509358</v>
      </c>
    </row>
    <row r="15" spans="1:6" ht="15.75" thickBot="1" x14ac:dyDescent="0.3">
      <c r="A15" s="5" t="s">
        <v>34</v>
      </c>
      <c r="B15" s="6">
        <v>3.5</v>
      </c>
      <c r="C15" s="6">
        <v>3</v>
      </c>
      <c r="E15">
        <f t="shared" ca="1" si="0"/>
        <v>3.7595645772888289</v>
      </c>
      <c r="F15">
        <f ca="1">$F$2+(C15-$F$2)*COS($F$5)+(B15-$E$2)*SIN($F$5)</f>
        <v>3.0549937770985878</v>
      </c>
    </row>
    <row r="16" spans="1:6" ht="15.75" thickBot="1" x14ac:dyDescent="0.3">
      <c r="A16" s="5" t="s">
        <v>35</v>
      </c>
      <c r="B16" s="6">
        <v>3.5</v>
      </c>
      <c r="C16" s="6">
        <v>9</v>
      </c>
      <c r="E16">
        <f t="shared" ca="1" si="0"/>
        <v>3.2366301208029173</v>
      </c>
      <c r="F16">
        <f t="shared" ca="1" si="1"/>
        <v>9.0321619656490633</v>
      </c>
    </row>
    <row r="17" spans="1:6" ht="15.75" thickBot="1" x14ac:dyDescent="0.3">
      <c r="A17" s="5" t="s">
        <v>36</v>
      </c>
      <c r="B17" s="6">
        <v>2.5</v>
      </c>
      <c r="C17" s="6">
        <v>9</v>
      </c>
      <c r="E17">
        <f t="shared" ca="1" si="0"/>
        <v>2.2404354227111711</v>
      </c>
      <c r="F17">
        <f t="shared" ca="1" si="1"/>
        <v>8.9450062229014122</v>
      </c>
    </row>
    <row r="18" spans="1:6" ht="15.75" thickBot="1" x14ac:dyDescent="0.3">
      <c r="A18" s="5" t="s">
        <v>37</v>
      </c>
      <c r="B18" s="6">
        <v>2.5</v>
      </c>
      <c r="C18" s="6">
        <v>3</v>
      </c>
      <c r="E18">
        <f t="shared" ca="1" si="0"/>
        <v>2.7633698791970827</v>
      </c>
      <c r="F18">
        <f t="shared" ca="1" si="1"/>
        <v>2.9678380343509358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K2" sqref="K2"/>
    </sheetView>
  </sheetViews>
  <sheetFormatPr baseColWidth="10" defaultRowHeight="15" x14ac:dyDescent="0.25"/>
  <sheetData>
    <row r="1" spans="1:11" ht="16.5" thickBot="1" x14ac:dyDescent="0.3">
      <c r="A1" s="3"/>
      <c r="B1" s="4" t="s">
        <v>22</v>
      </c>
      <c r="C1" s="4" t="s">
        <v>23</v>
      </c>
      <c r="D1">
        <v>1</v>
      </c>
      <c r="F1" s="7" t="s">
        <v>5</v>
      </c>
      <c r="G1" s="7" t="s">
        <v>54</v>
      </c>
      <c r="I1" s="7" t="s">
        <v>46</v>
      </c>
      <c r="J1" s="7" t="s">
        <v>47</v>
      </c>
      <c r="K1" s="7" t="s">
        <v>48</v>
      </c>
    </row>
    <row r="2" spans="1:11" ht="15.75" thickBot="1" x14ac:dyDescent="0.3">
      <c r="A2" s="5" t="s">
        <v>2</v>
      </c>
      <c r="B2" s="6">
        <v>1</v>
      </c>
      <c r="C2" s="6">
        <v>4</v>
      </c>
      <c r="D2">
        <v>1</v>
      </c>
      <c r="F2">
        <v>3</v>
      </c>
      <c r="G2">
        <v>6</v>
      </c>
      <c r="I2">
        <v>5</v>
      </c>
      <c r="J2">
        <f ca="1">J2+I2</f>
        <v>3965</v>
      </c>
      <c r="K2">
        <f ca="1">RADIANS(J2)</f>
        <v>69.20230484157517</v>
      </c>
    </row>
    <row r="3" spans="1:11" ht="15.75" thickBot="1" x14ac:dyDescent="0.3">
      <c r="A3" s="5" t="s">
        <v>3</v>
      </c>
      <c r="B3" s="6">
        <v>1</v>
      </c>
      <c r="C3" s="6">
        <v>1</v>
      </c>
      <c r="D3">
        <v>1</v>
      </c>
      <c r="I3" s="7" t="s">
        <v>55</v>
      </c>
      <c r="J3" s="7"/>
      <c r="K3" s="7"/>
    </row>
    <row r="4" spans="1:11" ht="15.75" thickBot="1" x14ac:dyDescent="0.3">
      <c r="A4" s="5" t="s">
        <v>4</v>
      </c>
      <c r="B4" s="6">
        <v>5</v>
      </c>
      <c r="C4" s="6">
        <v>1</v>
      </c>
      <c r="D4">
        <v>1</v>
      </c>
      <c r="I4">
        <f ca="1">COS(K2)</f>
        <v>0.99619469809174532</v>
      </c>
      <c r="J4">
        <f ca="1">SIN(K2)</f>
        <v>8.7155742747660692E-2</v>
      </c>
      <c r="K4">
        <v>0</v>
      </c>
    </row>
    <row r="5" spans="1:11" ht="15.75" thickBot="1" x14ac:dyDescent="0.3">
      <c r="A5" s="5" t="s">
        <v>24</v>
      </c>
      <c r="B5" s="6">
        <v>5</v>
      </c>
      <c r="C5" s="6">
        <v>4</v>
      </c>
      <c r="D5">
        <v>1</v>
      </c>
      <c r="I5">
        <f ca="1">-SIN(K2)</f>
        <v>-8.7155742747660692E-2</v>
      </c>
      <c r="J5">
        <f ca="1">COS(K2)</f>
        <v>0.99619469809174532</v>
      </c>
      <c r="K5">
        <v>0</v>
      </c>
    </row>
    <row r="6" spans="1:11" ht="15.75" thickBot="1" x14ac:dyDescent="0.3">
      <c r="A6" s="5" t="s">
        <v>25</v>
      </c>
      <c r="B6" s="6">
        <v>1</v>
      </c>
      <c r="C6" s="6">
        <v>4</v>
      </c>
      <c r="D6">
        <v>1</v>
      </c>
      <c r="I6">
        <f ca="1">(1-COS(K2))*F2+G2*SIN(K2)</f>
        <v>0.53435036221072818</v>
      </c>
      <c r="J6">
        <f ca="1">(1-COS(K2))*G2-F2*SIN(K2)</f>
        <v>-0.23863541679345401</v>
      </c>
      <c r="K6">
        <v>1</v>
      </c>
    </row>
    <row r="7" spans="1:11" ht="15.75" thickBot="1" x14ac:dyDescent="0.3">
      <c r="A7" s="5" t="s">
        <v>26</v>
      </c>
      <c r="B7" s="6">
        <v>3</v>
      </c>
      <c r="C7" s="6">
        <v>6</v>
      </c>
      <c r="D7">
        <v>1</v>
      </c>
    </row>
    <row r="8" spans="1:11" ht="15.75" thickBot="1" x14ac:dyDescent="0.3">
      <c r="A8" s="5" t="s">
        <v>27</v>
      </c>
      <c r="B8" s="6">
        <v>5</v>
      </c>
      <c r="C8" s="6">
        <v>4</v>
      </c>
      <c r="D8">
        <v>1</v>
      </c>
      <c r="I8" t="s">
        <v>7</v>
      </c>
      <c r="J8" t="s">
        <v>8</v>
      </c>
      <c r="K8">
        <v>1</v>
      </c>
    </row>
    <row r="9" spans="1:11" ht="15.75" thickBot="1" x14ac:dyDescent="0.3">
      <c r="A9" s="5" t="s">
        <v>28</v>
      </c>
      <c r="B9" s="6">
        <v>0</v>
      </c>
      <c r="C9" s="6">
        <v>5.5</v>
      </c>
      <c r="D9">
        <v>1</v>
      </c>
      <c r="I9">
        <f t="array" aca="1" ref="I9:K18" ca="1">MMULT(B9:D18,I4:K6)</f>
        <v>5.4993777098594376E-2</v>
      </c>
      <c r="J9">
        <f ca="1"/>
        <v>5.2404354227111449</v>
      </c>
      <c r="K9">
        <f ca="1"/>
        <v>1</v>
      </c>
    </row>
    <row r="10" spans="1:11" ht="15.75" thickBot="1" x14ac:dyDescent="0.3">
      <c r="A10" s="5" t="s">
        <v>29</v>
      </c>
      <c r="B10" s="6">
        <v>6</v>
      </c>
      <c r="C10" s="6">
        <v>5.5</v>
      </c>
      <c r="D10">
        <v>1</v>
      </c>
      <c r="I10">
        <f ca="1"/>
        <v>6.0321619656490659</v>
      </c>
      <c r="J10">
        <f ca="1"/>
        <v>5.7633698791971089</v>
      </c>
      <c r="K10">
        <f ca="1"/>
        <v>1</v>
      </c>
    </row>
    <row r="11" spans="1:11" ht="15.75" thickBot="1" x14ac:dyDescent="0.3">
      <c r="A11" s="5" t="s">
        <v>30</v>
      </c>
      <c r="B11" s="6">
        <v>6</v>
      </c>
      <c r="C11" s="6">
        <v>6.5</v>
      </c>
      <c r="D11">
        <v>1</v>
      </c>
      <c r="I11">
        <f ca="1"/>
        <v>5.9450062229014051</v>
      </c>
      <c r="J11">
        <f ca="1"/>
        <v>6.7595645772888542</v>
      </c>
      <c r="K11">
        <f ca="1"/>
        <v>1</v>
      </c>
    </row>
    <row r="12" spans="1:11" ht="15.75" thickBot="1" x14ac:dyDescent="0.3">
      <c r="A12" s="5" t="s">
        <v>31</v>
      </c>
      <c r="B12" s="6">
        <v>0</v>
      </c>
      <c r="C12" s="6">
        <v>6.5</v>
      </c>
      <c r="D12">
        <v>1</v>
      </c>
      <c r="I12">
        <f ca="1"/>
        <v>-3.2161965649066371E-2</v>
      </c>
      <c r="J12">
        <f ca="1"/>
        <v>6.2366301208028903</v>
      </c>
      <c r="K12">
        <f ca="1"/>
        <v>1</v>
      </c>
    </row>
    <row r="13" spans="1:11" ht="15.75" thickBot="1" x14ac:dyDescent="0.3">
      <c r="A13" s="5" t="s">
        <v>32</v>
      </c>
      <c r="B13" s="6">
        <v>0</v>
      </c>
      <c r="C13" s="6">
        <v>5.5</v>
      </c>
      <c r="D13">
        <v>1</v>
      </c>
      <c r="I13">
        <f ca="1"/>
        <v>5.4993777098594376E-2</v>
      </c>
      <c r="J13">
        <f ca="1"/>
        <v>5.2404354227111449</v>
      </c>
      <c r="K13">
        <f ca="1"/>
        <v>1</v>
      </c>
    </row>
    <row r="14" spans="1:11" ht="15.75" thickBot="1" x14ac:dyDescent="0.3">
      <c r="A14" s="5" t="s">
        <v>33</v>
      </c>
      <c r="B14" s="6">
        <v>2.5</v>
      </c>
      <c r="C14" s="6">
        <v>3</v>
      </c>
      <c r="D14">
        <v>1</v>
      </c>
      <c r="I14">
        <f ca="1"/>
        <v>2.7633698791971097</v>
      </c>
      <c r="J14">
        <f ca="1"/>
        <v>2.9678380343509336</v>
      </c>
      <c r="K14">
        <f ca="1"/>
        <v>1</v>
      </c>
    </row>
    <row r="15" spans="1:11" ht="15.75" thickBot="1" x14ac:dyDescent="0.3">
      <c r="A15" s="5" t="s">
        <v>34</v>
      </c>
      <c r="B15" s="6">
        <v>3.5</v>
      </c>
      <c r="C15" s="6">
        <v>3</v>
      </c>
      <c r="D15">
        <v>1</v>
      </c>
      <c r="I15">
        <f ca="1"/>
        <v>3.7595645772888551</v>
      </c>
      <c r="J15">
        <f ca="1"/>
        <v>3.0549937770985944</v>
      </c>
      <c r="K15">
        <f ca="1"/>
        <v>1</v>
      </c>
    </row>
    <row r="16" spans="1:11" ht="15.75" thickBot="1" x14ac:dyDescent="0.3">
      <c r="A16" s="5" t="s">
        <v>35</v>
      </c>
      <c r="B16" s="6">
        <v>3.5</v>
      </c>
      <c r="C16" s="6">
        <v>9</v>
      </c>
      <c r="D16">
        <v>1</v>
      </c>
      <c r="I16">
        <f ca="1"/>
        <v>3.2366301208028903</v>
      </c>
      <c r="J16">
        <f ca="1"/>
        <v>9.0321619656490668</v>
      </c>
      <c r="K16">
        <f ca="1"/>
        <v>1</v>
      </c>
    </row>
    <row r="17" spans="1:11" ht="15.75" thickBot="1" x14ac:dyDescent="0.3">
      <c r="A17" s="5" t="s">
        <v>36</v>
      </c>
      <c r="B17" s="6">
        <v>2.5</v>
      </c>
      <c r="C17" s="6">
        <v>9</v>
      </c>
      <c r="D17">
        <v>1</v>
      </c>
      <c r="I17">
        <f ca="1"/>
        <v>2.2404354227111449</v>
      </c>
      <c r="J17">
        <f ca="1"/>
        <v>8.9450062229014069</v>
      </c>
      <c r="K17">
        <f ca="1"/>
        <v>1</v>
      </c>
    </row>
    <row r="18" spans="1:11" ht="15.75" thickBot="1" x14ac:dyDescent="0.3">
      <c r="A18" s="5" t="s">
        <v>37</v>
      </c>
      <c r="B18" s="6">
        <v>2.5</v>
      </c>
      <c r="C18" s="6">
        <v>3</v>
      </c>
      <c r="D18">
        <v>1</v>
      </c>
      <c r="I18">
        <f ca="1"/>
        <v>2.7633698791971097</v>
      </c>
      <c r="J18">
        <f ca="1"/>
        <v>2.9678380343509336</v>
      </c>
      <c r="K18">
        <f ca="1"/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topLeftCell="A7" workbookViewId="0">
      <selection activeCell="H17" sqref="H17"/>
    </sheetView>
  </sheetViews>
  <sheetFormatPr baseColWidth="10" defaultRowHeight="15" x14ac:dyDescent="0.25"/>
  <cols>
    <col min="2" max="2" width="11.85546875" bestFit="1" customWidth="1"/>
  </cols>
  <sheetData>
    <row r="1" spans="1:26" x14ac:dyDescent="0.25">
      <c r="A1" t="s">
        <v>56</v>
      </c>
      <c r="B1">
        <v>10</v>
      </c>
    </row>
    <row r="2" spans="1:26" x14ac:dyDescent="0.25">
      <c r="A2" t="s">
        <v>57</v>
      </c>
      <c r="B2">
        <v>0</v>
      </c>
      <c r="C2">
        <v>15</v>
      </c>
      <c r="D2">
        <v>30</v>
      </c>
      <c r="E2">
        <v>45</v>
      </c>
      <c r="F2">
        <v>60</v>
      </c>
      <c r="G2">
        <v>75</v>
      </c>
      <c r="H2">
        <v>90</v>
      </c>
      <c r="I2">
        <v>105</v>
      </c>
      <c r="J2">
        <v>120</v>
      </c>
      <c r="K2">
        <v>135</v>
      </c>
      <c r="L2">
        <v>150</v>
      </c>
      <c r="M2">
        <v>165</v>
      </c>
      <c r="N2">
        <v>180</v>
      </c>
      <c r="O2">
        <v>195</v>
      </c>
      <c r="P2">
        <v>210</v>
      </c>
      <c r="Q2">
        <v>225</v>
      </c>
      <c r="R2">
        <v>240</v>
      </c>
      <c r="S2">
        <v>255</v>
      </c>
      <c r="T2">
        <v>270</v>
      </c>
      <c r="U2">
        <v>285</v>
      </c>
      <c r="V2">
        <v>300</v>
      </c>
      <c r="W2">
        <v>315</v>
      </c>
      <c r="X2">
        <v>330</v>
      </c>
      <c r="Y2">
        <v>345</v>
      </c>
      <c r="Z2">
        <v>360</v>
      </c>
    </row>
    <row r="3" spans="1:26" x14ac:dyDescent="0.25">
      <c r="A3" t="s">
        <v>48</v>
      </c>
      <c r="B3">
        <f>RADIANS(B2)</f>
        <v>0</v>
      </c>
      <c r="C3">
        <f t="shared" ref="C3:Z3" si="0">RADIANS(C2)</f>
        <v>0.26179938779914941</v>
      </c>
      <c r="D3">
        <f t="shared" si="0"/>
        <v>0.52359877559829882</v>
      </c>
      <c r="E3">
        <f t="shared" si="0"/>
        <v>0.78539816339744828</v>
      </c>
      <c r="F3">
        <f t="shared" si="0"/>
        <v>1.0471975511965976</v>
      </c>
      <c r="G3">
        <f t="shared" si="0"/>
        <v>1.3089969389957472</v>
      </c>
      <c r="H3">
        <f t="shared" si="0"/>
        <v>1.5707963267948966</v>
      </c>
      <c r="I3">
        <f t="shared" si="0"/>
        <v>1.8325957145940461</v>
      </c>
      <c r="J3">
        <f t="shared" si="0"/>
        <v>2.0943951023931953</v>
      </c>
      <c r="K3">
        <f t="shared" si="0"/>
        <v>2.3561944901923448</v>
      </c>
      <c r="L3">
        <f t="shared" si="0"/>
        <v>2.6179938779914944</v>
      </c>
      <c r="M3">
        <f t="shared" si="0"/>
        <v>2.8797932657906435</v>
      </c>
      <c r="N3">
        <f t="shared" si="0"/>
        <v>3.1415926535897931</v>
      </c>
      <c r="O3">
        <f t="shared" si="0"/>
        <v>3.4033920413889427</v>
      </c>
      <c r="P3">
        <f t="shared" si="0"/>
        <v>3.6651914291880923</v>
      </c>
      <c r="Q3">
        <f t="shared" si="0"/>
        <v>3.9269908169872414</v>
      </c>
      <c r="R3">
        <f t="shared" si="0"/>
        <v>4.1887902047863905</v>
      </c>
      <c r="S3">
        <f t="shared" si="0"/>
        <v>4.4505895925855405</v>
      </c>
      <c r="T3">
        <f t="shared" si="0"/>
        <v>4.7123889803846897</v>
      </c>
      <c r="U3">
        <f t="shared" si="0"/>
        <v>4.9741883681838388</v>
      </c>
      <c r="V3">
        <f t="shared" si="0"/>
        <v>5.2359877559829888</v>
      </c>
      <c r="W3">
        <f t="shared" si="0"/>
        <v>5.497787143782138</v>
      </c>
      <c r="X3">
        <f t="shared" si="0"/>
        <v>5.7595865315812871</v>
      </c>
      <c r="Y3">
        <f t="shared" si="0"/>
        <v>6.0213859193804371</v>
      </c>
      <c r="Z3">
        <f t="shared" si="0"/>
        <v>6.2831853071795862</v>
      </c>
    </row>
    <row r="4" spans="1:26" x14ac:dyDescent="0.25">
      <c r="A4" t="s">
        <v>0</v>
      </c>
      <c r="B4">
        <f>$B$1*COS(B3)</f>
        <v>10</v>
      </c>
      <c r="C4">
        <f t="shared" ref="C4:Z4" si="1">$B$1*COS(C3)</f>
        <v>9.6592582628906829</v>
      </c>
      <c r="D4">
        <f t="shared" si="1"/>
        <v>8.6602540378443873</v>
      </c>
      <c r="E4">
        <f t="shared" si="1"/>
        <v>7.0710678118654755</v>
      </c>
      <c r="F4">
        <f t="shared" si="1"/>
        <v>5.0000000000000009</v>
      </c>
      <c r="G4">
        <f t="shared" si="1"/>
        <v>2.5881904510252074</v>
      </c>
      <c r="H4">
        <f t="shared" si="1"/>
        <v>6.1257422745431001E-16</v>
      </c>
      <c r="I4">
        <f t="shared" si="1"/>
        <v>-2.5881904510252083</v>
      </c>
      <c r="J4">
        <f t="shared" si="1"/>
        <v>-4.9999999999999982</v>
      </c>
      <c r="K4">
        <f t="shared" si="1"/>
        <v>-7.0710678118654746</v>
      </c>
      <c r="L4">
        <f t="shared" si="1"/>
        <v>-8.6602540378443873</v>
      </c>
      <c r="M4">
        <f t="shared" si="1"/>
        <v>-9.6592582628906811</v>
      </c>
      <c r="N4">
        <f t="shared" si="1"/>
        <v>-10</v>
      </c>
      <c r="O4">
        <f t="shared" si="1"/>
        <v>-9.6592582628906829</v>
      </c>
      <c r="P4">
        <f t="shared" si="1"/>
        <v>-8.6602540378443855</v>
      </c>
      <c r="Q4">
        <f t="shared" si="1"/>
        <v>-7.0710678118654773</v>
      </c>
      <c r="R4">
        <f t="shared" si="1"/>
        <v>-5.0000000000000044</v>
      </c>
      <c r="S4">
        <f t="shared" si="1"/>
        <v>-2.5881904510252065</v>
      </c>
      <c r="T4">
        <f t="shared" si="1"/>
        <v>-1.83772268236293E-15</v>
      </c>
      <c r="U4">
        <f t="shared" si="1"/>
        <v>2.588190451025203</v>
      </c>
      <c r="V4">
        <f t="shared" si="1"/>
        <v>5.0000000000000009</v>
      </c>
      <c r="W4">
        <f t="shared" si="1"/>
        <v>7.0710678118654737</v>
      </c>
      <c r="X4">
        <f t="shared" si="1"/>
        <v>8.6602540378443837</v>
      </c>
      <c r="Y4">
        <f t="shared" si="1"/>
        <v>9.6592582628906829</v>
      </c>
      <c r="Z4">
        <f t="shared" si="1"/>
        <v>10</v>
      </c>
    </row>
    <row r="5" spans="1:26" x14ac:dyDescent="0.25">
      <c r="A5" t="s">
        <v>1</v>
      </c>
      <c r="B5">
        <f>$B$1*SIN(B3)</f>
        <v>0</v>
      </c>
      <c r="C5">
        <f t="shared" ref="C5:Z5" si="2">$B$1*SIN(C3)</f>
        <v>2.5881904510252074</v>
      </c>
      <c r="D5">
        <f t="shared" si="2"/>
        <v>4.9999999999999991</v>
      </c>
      <c r="E5">
        <f t="shared" si="2"/>
        <v>7.0710678118654746</v>
      </c>
      <c r="F5">
        <f t="shared" si="2"/>
        <v>8.6602540378443855</v>
      </c>
      <c r="G5">
        <f t="shared" si="2"/>
        <v>9.6592582628906829</v>
      </c>
      <c r="H5">
        <f t="shared" si="2"/>
        <v>10</v>
      </c>
      <c r="I5">
        <f t="shared" si="2"/>
        <v>9.6592582628906829</v>
      </c>
      <c r="J5">
        <f t="shared" si="2"/>
        <v>8.6602540378443873</v>
      </c>
      <c r="K5">
        <f t="shared" si="2"/>
        <v>7.0710678118654755</v>
      </c>
      <c r="L5">
        <f t="shared" si="2"/>
        <v>4.9999999999999991</v>
      </c>
      <c r="M5">
        <f t="shared" si="2"/>
        <v>2.5881904510252101</v>
      </c>
      <c r="N5">
        <f t="shared" si="2"/>
        <v>1.22514845490862E-15</v>
      </c>
      <c r="O5">
        <f t="shared" si="2"/>
        <v>-2.5881904510252078</v>
      </c>
      <c r="P5">
        <f t="shared" si="2"/>
        <v>-5.0000000000000009</v>
      </c>
      <c r="Q5">
        <f t="shared" si="2"/>
        <v>-7.0710678118654746</v>
      </c>
      <c r="R5">
        <f t="shared" si="2"/>
        <v>-8.6602540378443837</v>
      </c>
      <c r="S5">
        <f t="shared" si="2"/>
        <v>-9.6592582628906829</v>
      </c>
      <c r="T5">
        <f t="shared" si="2"/>
        <v>-10</v>
      </c>
      <c r="U5">
        <f t="shared" si="2"/>
        <v>-9.6592582628906847</v>
      </c>
      <c r="V5">
        <f t="shared" si="2"/>
        <v>-8.6602540378443855</v>
      </c>
      <c r="W5">
        <f t="shared" si="2"/>
        <v>-7.0710678118654773</v>
      </c>
      <c r="X5">
        <f t="shared" si="2"/>
        <v>-5.0000000000000044</v>
      </c>
      <c r="Y5">
        <f t="shared" si="2"/>
        <v>-2.588190451025207</v>
      </c>
      <c r="Z5">
        <f t="shared" si="2"/>
        <v>-2.45029690981724E-15</v>
      </c>
    </row>
    <row r="8" spans="1:26" x14ac:dyDescent="0.25">
      <c r="A8" t="s">
        <v>0</v>
      </c>
      <c r="B8">
        <v>-2</v>
      </c>
      <c r="C8">
        <v>-2</v>
      </c>
      <c r="D8">
        <v>2</v>
      </c>
      <c r="E8">
        <v>2</v>
      </c>
      <c r="F8">
        <v>-2</v>
      </c>
      <c r="G8">
        <v>-2</v>
      </c>
      <c r="H8">
        <v>-4</v>
      </c>
      <c r="I8">
        <v>-4</v>
      </c>
      <c r="J8">
        <v>-2</v>
      </c>
      <c r="K8">
        <v>-2</v>
      </c>
      <c r="L8">
        <v>2</v>
      </c>
      <c r="M8">
        <v>4</v>
      </c>
      <c r="N8">
        <v>2</v>
      </c>
    </row>
    <row r="9" spans="1:26" x14ac:dyDescent="0.25">
      <c r="A9" t="s">
        <v>1</v>
      </c>
      <c r="B9">
        <v>2</v>
      </c>
      <c r="C9">
        <v>-2</v>
      </c>
      <c r="D9">
        <v>-2</v>
      </c>
      <c r="E9">
        <v>2</v>
      </c>
      <c r="F9">
        <v>2</v>
      </c>
      <c r="G9">
        <v>0</v>
      </c>
      <c r="H9">
        <v>2</v>
      </c>
      <c r="I9">
        <v>-2</v>
      </c>
      <c r="J9">
        <v>0</v>
      </c>
      <c r="K9">
        <v>2</v>
      </c>
      <c r="L9">
        <v>2</v>
      </c>
      <c r="M9">
        <v>0</v>
      </c>
      <c r="N9">
        <v>-2</v>
      </c>
    </row>
    <row r="10" spans="1:26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2" spans="1:26" x14ac:dyDescent="0.25">
      <c r="A12" t="s">
        <v>46</v>
      </c>
      <c r="B12">
        <v>5</v>
      </c>
    </row>
    <row r="13" spans="1:26" x14ac:dyDescent="0.25">
      <c r="A13" t="s">
        <v>47</v>
      </c>
      <c r="B13">
        <f ca="1">B13+B12</f>
        <v>2455</v>
      </c>
    </row>
    <row r="14" spans="1:26" x14ac:dyDescent="0.25">
      <c r="A14" t="s">
        <v>48</v>
      </c>
      <c r="B14">
        <f ca="1">RADIANS(B13)</f>
        <v>42.847833136460793</v>
      </c>
    </row>
    <row r="16" spans="1:26" x14ac:dyDescent="0.25">
      <c r="A16" t="s">
        <v>5</v>
      </c>
      <c r="B16">
        <f ca="1">B1*COS(B14)</f>
        <v>4.226182617407007</v>
      </c>
    </row>
    <row r="17" spans="1:14" x14ac:dyDescent="0.25">
      <c r="A17" t="s">
        <v>6</v>
      </c>
      <c r="B17">
        <f ca="1">B1*SIN(B14)</f>
        <v>-9.0630778703664934</v>
      </c>
    </row>
    <row r="19" spans="1:14" x14ac:dyDescent="0.25">
      <c r="A19" t="s">
        <v>58</v>
      </c>
    </row>
    <row r="20" spans="1:14" x14ac:dyDescent="0.25">
      <c r="A20">
        <v>1</v>
      </c>
      <c r="B20">
        <v>0</v>
      </c>
      <c r="C20">
        <f ca="1">B16</f>
        <v>4.226182617407007</v>
      </c>
    </row>
    <row r="21" spans="1:14" x14ac:dyDescent="0.25">
      <c r="A21">
        <v>0</v>
      </c>
      <c r="B21">
        <v>1</v>
      </c>
      <c r="C21">
        <f ca="1">B17</f>
        <v>-9.0630778703664934</v>
      </c>
    </row>
    <row r="22" spans="1:14" x14ac:dyDescent="0.25">
      <c r="A22">
        <v>0</v>
      </c>
      <c r="B22">
        <v>0</v>
      </c>
      <c r="C22">
        <v>1</v>
      </c>
    </row>
    <row r="24" spans="1:14" x14ac:dyDescent="0.25">
      <c r="A24" t="s">
        <v>22</v>
      </c>
      <c r="B24">
        <f t="array" aca="1" ref="B24:N26" ca="1">MMULT(A20:C22,B8:N10)</f>
        <v>2.226182617407007</v>
      </c>
      <c r="C24">
        <f ca="1"/>
        <v>2.226182617407007</v>
      </c>
      <c r="D24">
        <f ca="1"/>
        <v>6.226182617407007</v>
      </c>
      <c r="E24">
        <f ca="1"/>
        <v>6.226182617407007</v>
      </c>
      <c r="F24">
        <f ca="1"/>
        <v>2.226182617407007</v>
      </c>
      <c r="G24">
        <f ca="1"/>
        <v>2.226182617407007</v>
      </c>
      <c r="H24">
        <f ca="1"/>
        <v>0.22618261740700696</v>
      </c>
      <c r="I24">
        <f ca="1"/>
        <v>0.22618261740700696</v>
      </c>
      <c r="J24">
        <f ca="1"/>
        <v>2.226182617407007</v>
      </c>
      <c r="K24">
        <f ca="1"/>
        <v>2.226182617407007</v>
      </c>
      <c r="L24">
        <f ca="1"/>
        <v>6.226182617407007</v>
      </c>
      <c r="M24">
        <f ca="1"/>
        <v>8.226182617407007</v>
      </c>
      <c r="N24">
        <f ca="1"/>
        <v>6.226182617407007</v>
      </c>
    </row>
    <row r="25" spans="1:14" x14ac:dyDescent="0.25">
      <c r="A25" t="s">
        <v>23</v>
      </c>
      <c r="B25">
        <f ca="1"/>
        <v>-7.0630778703664934</v>
      </c>
      <c r="C25">
        <f ca="1"/>
        <v>-11.063077870366493</v>
      </c>
      <c r="D25">
        <f ca="1"/>
        <v>-11.063077870366493</v>
      </c>
      <c r="E25">
        <f ca="1"/>
        <v>-7.0630778703664934</v>
      </c>
      <c r="F25">
        <f ca="1"/>
        <v>-7.0630778703664934</v>
      </c>
      <c r="G25">
        <f ca="1"/>
        <v>-9.0630778703664934</v>
      </c>
      <c r="H25">
        <f ca="1"/>
        <v>-7.0630778703664934</v>
      </c>
      <c r="I25">
        <f ca="1"/>
        <v>-11.063077870366493</v>
      </c>
      <c r="J25">
        <f ca="1"/>
        <v>-9.0630778703664934</v>
      </c>
      <c r="K25">
        <f ca="1"/>
        <v>-7.0630778703664934</v>
      </c>
      <c r="L25">
        <f ca="1"/>
        <v>-7.0630778703664934</v>
      </c>
      <c r="M25">
        <f ca="1"/>
        <v>-9.0630778703664934</v>
      </c>
      <c r="N25">
        <f ca="1"/>
        <v>-11.063077870366493</v>
      </c>
    </row>
    <row r="26" spans="1:14" x14ac:dyDescent="0.25">
      <c r="A26">
        <v>1</v>
      </c>
      <c r="B26">
        <f ca="1"/>
        <v>1</v>
      </c>
      <c r="C26">
        <f ca="1"/>
        <v>1</v>
      </c>
      <c r="D26">
        <f ca="1"/>
        <v>1</v>
      </c>
      <c r="E26">
        <f ca="1"/>
        <v>1</v>
      </c>
      <c r="F26">
        <f ca="1"/>
        <v>1</v>
      </c>
      <c r="G26">
        <f ca="1"/>
        <v>1</v>
      </c>
      <c r="H26">
        <f ca="1"/>
        <v>1</v>
      </c>
      <c r="I26">
        <f ca="1"/>
        <v>1</v>
      </c>
      <c r="J26">
        <f ca="1"/>
        <v>1</v>
      </c>
      <c r="K26">
        <f ca="1"/>
        <v>1</v>
      </c>
      <c r="L26">
        <f ca="1"/>
        <v>1</v>
      </c>
      <c r="M26">
        <f ca="1"/>
        <v>1</v>
      </c>
      <c r="N26">
        <f ca="1"/>
        <v>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J12" sqref="J12"/>
    </sheetView>
  </sheetViews>
  <sheetFormatPr baseColWidth="10" defaultRowHeight="15" x14ac:dyDescent="0.25"/>
  <cols>
    <col min="2" max="2" width="7.28515625" customWidth="1"/>
    <col min="3" max="3" width="6.28515625" customWidth="1"/>
    <col min="4" max="5" width="5.7109375" customWidth="1"/>
    <col min="6" max="6" width="6" customWidth="1"/>
    <col min="7" max="7" width="5.7109375" customWidth="1"/>
    <col min="8" max="8" width="6" customWidth="1"/>
    <col min="9" max="9" width="5.5703125" customWidth="1"/>
    <col min="10" max="10" width="6.7109375" customWidth="1"/>
    <col min="11" max="11" width="5.85546875" customWidth="1"/>
    <col min="12" max="12" width="6" customWidth="1"/>
    <col min="13" max="13" width="5.85546875" customWidth="1"/>
    <col min="14" max="14" width="6" customWidth="1"/>
    <col min="15" max="15" width="5.28515625" customWidth="1"/>
    <col min="16" max="16" width="4.5703125" bestFit="1" customWidth="1"/>
    <col min="17" max="17" width="5.85546875" customWidth="1"/>
    <col min="18" max="18" width="6.28515625" customWidth="1"/>
    <col min="19" max="19" width="6.140625" customWidth="1"/>
    <col min="20" max="20" width="5.42578125" customWidth="1"/>
    <col min="21" max="21" width="6.140625" customWidth="1"/>
    <col min="22" max="22" width="6" customWidth="1"/>
    <col min="23" max="23" width="5.85546875" customWidth="1"/>
    <col min="24" max="24" width="6.5703125" customWidth="1"/>
    <col min="25" max="25" width="6.140625" customWidth="1"/>
    <col min="26" max="26" width="7.140625" customWidth="1"/>
  </cols>
  <sheetData>
    <row r="1" spans="1:26" x14ac:dyDescent="0.25">
      <c r="A1" t="s">
        <v>59</v>
      </c>
      <c r="B1">
        <v>2</v>
      </c>
    </row>
    <row r="2" spans="1:26" x14ac:dyDescent="0.25">
      <c r="A2" t="s">
        <v>19</v>
      </c>
      <c r="B2">
        <v>0</v>
      </c>
      <c r="C2">
        <f>B2+15</f>
        <v>15</v>
      </c>
      <c r="D2">
        <f t="shared" ref="D2:Z2" si="0">C2+15</f>
        <v>30</v>
      </c>
      <c r="E2">
        <f t="shared" si="0"/>
        <v>45</v>
      </c>
      <c r="F2">
        <f t="shared" si="0"/>
        <v>60</v>
      </c>
      <c r="G2">
        <f t="shared" si="0"/>
        <v>75</v>
      </c>
      <c r="H2">
        <f t="shared" si="0"/>
        <v>90</v>
      </c>
      <c r="I2">
        <f t="shared" si="0"/>
        <v>105</v>
      </c>
      <c r="J2">
        <f t="shared" si="0"/>
        <v>120</v>
      </c>
      <c r="K2">
        <f t="shared" si="0"/>
        <v>135</v>
      </c>
      <c r="L2">
        <f t="shared" si="0"/>
        <v>150</v>
      </c>
      <c r="M2">
        <f t="shared" si="0"/>
        <v>165</v>
      </c>
      <c r="N2">
        <f t="shared" si="0"/>
        <v>180</v>
      </c>
      <c r="O2">
        <f t="shared" si="0"/>
        <v>195</v>
      </c>
      <c r="P2">
        <f t="shared" si="0"/>
        <v>210</v>
      </c>
      <c r="Q2">
        <f t="shared" si="0"/>
        <v>225</v>
      </c>
      <c r="R2">
        <f t="shared" si="0"/>
        <v>240</v>
      </c>
      <c r="S2">
        <f>R2+15</f>
        <v>255</v>
      </c>
      <c r="T2">
        <f t="shared" si="0"/>
        <v>270</v>
      </c>
      <c r="U2">
        <f t="shared" si="0"/>
        <v>285</v>
      </c>
      <c r="V2">
        <f t="shared" si="0"/>
        <v>300</v>
      </c>
      <c r="W2">
        <f t="shared" si="0"/>
        <v>315</v>
      </c>
      <c r="X2">
        <f t="shared" si="0"/>
        <v>330</v>
      </c>
      <c r="Y2">
        <f t="shared" si="0"/>
        <v>345</v>
      </c>
      <c r="Z2">
        <f t="shared" si="0"/>
        <v>360</v>
      </c>
    </row>
    <row r="3" spans="1:26" x14ac:dyDescent="0.25">
      <c r="A3" t="s">
        <v>60</v>
      </c>
      <c r="B3" s="8">
        <f>RADIANS(B2)</f>
        <v>0</v>
      </c>
      <c r="C3" s="9">
        <f t="shared" ref="C3:Z3" si="1">RADIANS(C2)</f>
        <v>0.26179938779914941</v>
      </c>
      <c r="D3" s="9">
        <f t="shared" si="1"/>
        <v>0.52359877559829882</v>
      </c>
      <c r="E3" s="9">
        <f t="shared" si="1"/>
        <v>0.78539816339744828</v>
      </c>
      <c r="F3" s="9">
        <f t="shared" si="1"/>
        <v>1.0471975511965976</v>
      </c>
      <c r="G3" s="9">
        <f t="shared" si="1"/>
        <v>1.3089969389957472</v>
      </c>
      <c r="H3" s="9">
        <f t="shared" si="1"/>
        <v>1.5707963267948966</v>
      </c>
      <c r="I3" s="9">
        <f t="shared" si="1"/>
        <v>1.8325957145940461</v>
      </c>
      <c r="J3" s="9">
        <f t="shared" si="1"/>
        <v>2.0943951023931953</v>
      </c>
      <c r="K3" s="9">
        <f t="shared" si="1"/>
        <v>2.3561944901923448</v>
      </c>
      <c r="L3" s="9">
        <f t="shared" si="1"/>
        <v>2.6179938779914944</v>
      </c>
      <c r="M3" s="9">
        <f t="shared" si="1"/>
        <v>2.8797932657906435</v>
      </c>
      <c r="N3" s="9">
        <f t="shared" si="1"/>
        <v>3.1415926535897931</v>
      </c>
      <c r="O3" s="9">
        <f t="shared" si="1"/>
        <v>3.4033920413889427</v>
      </c>
      <c r="P3" s="9">
        <f t="shared" si="1"/>
        <v>3.6651914291880923</v>
      </c>
      <c r="Q3" s="9">
        <f t="shared" si="1"/>
        <v>3.9269908169872414</v>
      </c>
      <c r="R3" s="9">
        <f t="shared" si="1"/>
        <v>4.1887902047863905</v>
      </c>
      <c r="S3" s="9">
        <f t="shared" si="1"/>
        <v>4.4505895925855405</v>
      </c>
      <c r="T3" s="9">
        <f t="shared" si="1"/>
        <v>4.7123889803846897</v>
      </c>
      <c r="U3" s="9">
        <f t="shared" si="1"/>
        <v>4.9741883681838388</v>
      </c>
      <c r="V3" s="9">
        <f t="shared" si="1"/>
        <v>5.2359877559829888</v>
      </c>
      <c r="W3" s="9">
        <f t="shared" si="1"/>
        <v>5.497787143782138</v>
      </c>
      <c r="X3" s="9">
        <f t="shared" si="1"/>
        <v>5.7595865315812871</v>
      </c>
      <c r="Y3" s="9">
        <f t="shared" si="1"/>
        <v>6.0213859193804371</v>
      </c>
      <c r="Z3" s="9">
        <f t="shared" si="1"/>
        <v>6.2831853071795862</v>
      </c>
    </row>
    <row r="4" spans="1:26" x14ac:dyDescent="0.25">
      <c r="A4" t="s">
        <v>0</v>
      </c>
      <c r="B4">
        <f>$B$1*SIN(B3)/(1+POWER(COS(B3),2))</f>
        <v>0</v>
      </c>
      <c r="C4" s="9">
        <f t="shared" ref="C4:Z4" si="2">$B$1*SIN(C3)/(1+POWER(COS(C3),2))</f>
        <v>0.26778825079541763</v>
      </c>
      <c r="D4" s="9">
        <f t="shared" si="2"/>
        <v>0.5714285714285714</v>
      </c>
      <c r="E4" s="9">
        <f t="shared" si="2"/>
        <v>0.94280904158206325</v>
      </c>
      <c r="F4" s="9">
        <f t="shared" si="2"/>
        <v>1.3856406460551018</v>
      </c>
      <c r="G4" s="9">
        <f t="shared" si="2"/>
        <v>1.8105666824751578</v>
      </c>
      <c r="H4" s="10">
        <f t="shared" si="2"/>
        <v>2</v>
      </c>
      <c r="I4" s="9">
        <f t="shared" si="2"/>
        <v>1.8105666824751576</v>
      </c>
      <c r="J4" s="9">
        <f t="shared" si="2"/>
        <v>1.3856406460551023</v>
      </c>
      <c r="K4" s="9">
        <f t="shared" si="2"/>
        <v>0.94280904158206347</v>
      </c>
      <c r="L4" s="9">
        <f t="shared" si="2"/>
        <v>0.5714285714285714</v>
      </c>
      <c r="M4" s="9">
        <f t="shared" si="2"/>
        <v>0.26778825079541796</v>
      </c>
      <c r="N4" s="8">
        <f t="shared" si="2"/>
        <v>1.22514845490862E-16</v>
      </c>
      <c r="O4" s="10">
        <f t="shared" si="2"/>
        <v>-0.26778825079541768</v>
      </c>
      <c r="P4" s="10">
        <f t="shared" si="2"/>
        <v>-0.57142857142857151</v>
      </c>
      <c r="Q4" s="10">
        <f t="shared" si="2"/>
        <v>-0.94280904158206313</v>
      </c>
      <c r="R4" s="10">
        <f t="shared" si="2"/>
        <v>-1.385640646055101</v>
      </c>
      <c r="S4" s="10">
        <f t="shared" si="2"/>
        <v>-1.8105666824751578</v>
      </c>
      <c r="T4" s="10">
        <f t="shared" si="2"/>
        <v>-2</v>
      </c>
      <c r="U4" s="10">
        <f t="shared" si="2"/>
        <v>-1.8105666824751585</v>
      </c>
      <c r="V4" s="10">
        <f t="shared" si="2"/>
        <v>-1.3856406460551018</v>
      </c>
      <c r="W4" s="10">
        <f t="shared" si="2"/>
        <v>-0.94280904158206369</v>
      </c>
      <c r="X4" s="10">
        <f t="shared" si="2"/>
        <v>-0.57142857142857206</v>
      </c>
      <c r="Y4" s="10">
        <f t="shared" si="2"/>
        <v>-0.26778825079541757</v>
      </c>
      <c r="Z4" s="9">
        <f t="shared" si="2"/>
        <v>-2.45029690981724E-16</v>
      </c>
    </row>
    <row r="5" spans="1:26" x14ac:dyDescent="0.25">
      <c r="A5" t="s">
        <v>1</v>
      </c>
      <c r="B5">
        <f>$B$1*SIN(B3)*COS(B3)/(1+POWER(COS(B3),2))</f>
        <v>0</v>
      </c>
      <c r="C5" s="9">
        <f t="shared" ref="C5:Z5" si="3">$B$1*SIN(C3)*COS(C3)/(1+POWER(COS(C3),2))</f>
        <v>0.25866358742006801</v>
      </c>
      <c r="D5" s="9">
        <f t="shared" si="3"/>
        <v>0.49487165930539351</v>
      </c>
      <c r="E5" s="9">
        <f t="shared" si="3"/>
        <v>0.66666666666666663</v>
      </c>
      <c r="F5" s="9">
        <f t="shared" si="3"/>
        <v>0.69282032302755103</v>
      </c>
      <c r="G5" s="9">
        <f t="shared" si="3"/>
        <v>0.46860913985265923</v>
      </c>
      <c r="H5" s="8">
        <f t="shared" si="3"/>
        <v>1.22514845490862E-16</v>
      </c>
      <c r="I5" s="10">
        <f t="shared" si="3"/>
        <v>-0.4686091398526594</v>
      </c>
      <c r="J5" s="9">
        <f t="shared" si="3"/>
        <v>-0.69282032302755081</v>
      </c>
      <c r="K5" s="9">
        <f t="shared" si="3"/>
        <v>-0.66666666666666663</v>
      </c>
      <c r="L5" s="9">
        <f t="shared" si="3"/>
        <v>-0.49487165930539351</v>
      </c>
      <c r="M5" s="9">
        <f t="shared" si="3"/>
        <v>-0.25866358742006829</v>
      </c>
      <c r="N5" s="8">
        <f t="shared" si="3"/>
        <v>-1.22514845490862E-16</v>
      </c>
      <c r="O5" s="10">
        <f t="shared" si="3"/>
        <v>0.25866358742006806</v>
      </c>
      <c r="P5" s="10">
        <f t="shared" si="3"/>
        <v>0.49487165930539362</v>
      </c>
      <c r="Q5" s="10">
        <f t="shared" si="3"/>
        <v>0.66666666666666674</v>
      </c>
      <c r="R5" s="10">
        <f t="shared" si="3"/>
        <v>0.69282032302755103</v>
      </c>
      <c r="S5" s="10">
        <f t="shared" si="3"/>
        <v>0.46860913985265906</v>
      </c>
      <c r="T5" s="10">
        <f t="shared" si="3"/>
        <v>3.67544536472586E-16</v>
      </c>
      <c r="U5" s="10">
        <f t="shared" si="3"/>
        <v>-0.46860913985265856</v>
      </c>
      <c r="V5" s="10">
        <f t="shared" si="3"/>
        <v>-0.69282032302755103</v>
      </c>
      <c r="W5" s="10">
        <f t="shared" si="3"/>
        <v>-0.66666666666666674</v>
      </c>
      <c r="X5" s="10">
        <f t="shared" si="3"/>
        <v>-0.49487165930539395</v>
      </c>
      <c r="Y5" s="10">
        <f t="shared" si="3"/>
        <v>-0.25866358742006795</v>
      </c>
      <c r="Z5" s="9">
        <f t="shared" si="3"/>
        <v>-2.45029690981724E-16</v>
      </c>
    </row>
    <row r="7" spans="1:26" x14ac:dyDescent="0.25">
      <c r="A7" t="s">
        <v>61</v>
      </c>
      <c r="B7">
        <v>5</v>
      </c>
      <c r="D7" t="s">
        <v>22</v>
      </c>
      <c r="E7">
        <v>-9.9999999999999978E-2</v>
      </c>
      <c r="F7">
        <v>-0.10000000000000003</v>
      </c>
      <c r="G7">
        <v>9.9999999999999978E-2</v>
      </c>
      <c r="H7">
        <v>0.10000000000000003</v>
      </c>
      <c r="I7">
        <v>-9.9999999999999978E-2</v>
      </c>
      <c r="J7">
        <v>-0.1</v>
      </c>
      <c r="K7">
        <v>-0.19999999999999998</v>
      </c>
      <c r="L7">
        <v>-0.2</v>
      </c>
      <c r="M7">
        <v>-0.1</v>
      </c>
      <c r="N7">
        <v>-9.9999999999999978E-2</v>
      </c>
      <c r="O7">
        <v>0.10000000000000003</v>
      </c>
      <c r="P7">
        <v>0.2</v>
      </c>
      <c r="Q7">
        <v>9.9999999999999978E-2</v>
      </c>
    </row>
    <row r="8" spans="1:26" x14ac:dyDescent="0.25">
      <c r="A8" t="s">
        <v>19</v>
      </c>
      <c r="B8">
        <f ca="1">MOD(B8+B7,360)</f>
        <v>215</v>
      </c>
      <c r="D8" t="s">
        <v>23</v>
      </c>
      <c r="E8">
        <v>0.10000000000000003</v>
      </c>
      <c r="F8">
        <v>-9.9999999999999978E-2</v>
      </c>
      <c r="G8">
        <v>-0.10000000000000003</v>
      </c>
      <c r="H8">
        <v>9.9999999999999978E-2</v>
      </c>
      <c r="I8">
        <v>0.10000000000000003</v>
      </c>
      <c r="J8">
        <v>0</v>
      </c>
      <c r="K8">
        <v>0.10000000000000005</v>
      </c>
      <c r="L8">
        <v>-9.9999999999999978E-2</v>
      </c>
      <c r="M8">
        <v>0</v>
      </c>
      <c r="N8">
        <v>0.10000000000000003</v>
      </c>
      <c r="O8">
        <v>9.9999999999999978E-2</v>
      </c>
      <c r="P8">
        <v>0</v>
      </c>
      <c r="Q8">
        <v>-0.10000000000000003</v>
      </c>
    </row>
    <row r="9" spans="1:26" x14ac:dyDescent="0.25">
      <c r="A9" t="s">
        <v>20</v>
      </c>
      <c r="B9" s="9">
        <f ca="1">RADIANS(B8)</f>
        <v>3.7524578917878086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1" spans="1:26" x14ac:dyDescent="0.25">
      <c r="A11" t="s">
        <v>62</v>
      </c>
      <c r="B11" s="9">
        <f ca="1">B1*COS(B9)*(2*POWER(SIN(B9),2)+POWER(COS(B9),2)+1)/POWER(POWER(COS(B9),2)+1,2)</f>
        <v>-1.3664822365290483</v>
      </c>
      <c r="D11" t="s">
        <v>63</v>
      </c>
    </row>
    <row r="12" spans="1:26" x14ac:dyDescent="0.25">
      <c r="A12" t="s">
        <v>62</v>
      </c>
      <c r="B12" s="10">
        <f ca="1">2*B1*(3*COS(2*B9)+1)/POWER(COS(2*B9)+3,2)</f>
        <v>0.72559496359439013</v>
      </c>
      <c r="D12" s="10">
        <f ca="1">COS(B13)</f>
        <v>-0.84169757662454192</v>
      </c>
      <c r="E12" s="10">
        <f ca="1">-SIN(B13)</f>
        <v>-0.53994924715603909</v>
      </c>
      <c r="F12" s="9">
        <f ca="1">$B$1*SIN(B9)/(1+POWER(COS(B9),2))</f>
        <v>-0.68650266815002026</v>
      </c>
    </row>
    <row r="13" spans="1:26" x14ac:dyDescent="0.25">
      <c r="A13" t="s">
        <v>64</v>
      </c>
      <c r="B13" s="10">
        <f ca="1">ATAN2(B11,B12)</f>
        <v>2.6534577513927795</v>
      </c>
      <c r="D13" s="10">
        <f ca="1">SIN(B13)</f>
        <v>0.46897943349217097</v>
      </c>
      <c r="E13" s="10">
        <f ca="1">COS(B13)</f>
        <v>-0.88320908677467891</v>
      </c>
      <c r="F13" s="10">
        <f ca="1">$B$1*SIN(B9)*COS(B9)/(1+POWER(COS(B9),2))</f>
        <v>0.56235006402493648</v>
      </c>
    </row>
    <row r="14" spans="1:26" x14ac:dyDescent="0.25">
      <c r="D14">
        <v>0</v>
      </c>
      <c r="E14">
        <v>0</v>
      </c>
      <c r="F14">
        <v>1</v>
      </c>
    </row>
    <row r="16" spans="1:26" x14ac:dyDescent="0.25">
      <c r="D16" t="s">
        <v>22</v>
      </c>
      <c r="E16" cm="1">
        <f t="array" aca="1" ref="E16:Q18" ca="1">MMULT(D12:F14,E7:Q9)</f>
        <v>-0.65632783520317006</v>
      </c>
      <c r="F16">
        <f ca="1"/>
        <v>-0.54833798577196213</v>
      </c>
      <c r="G16">
        <f ca="1"/>
        <v>-0.71667750109687045</v>
      </c>
      <c r="H16">
        <f ca="1"/>
        <v>-0.82466735052807838</v>
      </c>
      <c r="I16">
        <f ca="1"/>
        <v>-0.65632783520317006</v>
      </c>
      <c r="J16">
        <f ca="1"/>
        <v>-0.6023329104875661</v>
      </c>
      <c r="K16">
        <f ca="1"/>
        <v>-0.57215807754071579</v>
      </c>
      <c r="L16">
        <f ca="1"/>
        <v>-0.46416822810950797</v>
      </c>
      <c r="M16">
        <f ca="1"/>
        <v>-0.6023329104875661</v>
      </c>
      <c r="N16">
        <f ca="1"/>
        <v>-0.65632783520317006</v>
      </c>
      <c r="O16">
        <f ca="1"/>
        <v>-0.82466735052807838</v>
      </c>
      <c r="P16">
        <f ca="1"/>
        <v>-0.85484218347492869</v>
      </c>
      <c r="Q16">
        <f ca="1"/>
        <v>-0.71667750109687045</v>
      </c>
    </row>
    <row r="17" spans="4:17" x14ac:dyDescent="0.25">
      <c r="D17" t="s">
        <v>23</v>
      </c>
      <c r="E17">
        <f ca="1"/>
        <v>0.42713121199825149</v>
      </c>
      <c r="F17">
        <f ca="1"/>
        <v>0.60377302935318722</v>
      </c>
      <c r="G17">
        <f ca="1"/>
        <v>0.69756891605162141</v>
      </c>
      <c r="H17">
        <f ca="1"/>
        <v>0.52092709869668574</v>
      </c>
      <c r="I17">
        <f ca="1"/>
        <v>0.42713121199825149</v>
      </c>
      <c r="J17">
        <f ca="1"/>
        <v>0.51545212067571944</v>
      </c>
      <c r="K17">
        <f ca="1"/>
        <v>0.38023326864903439</v>
      </c>
      <c r="L17">
        <f ca="1"/>
        <v>0.55687508600397018</v>
      </c>
      <c r="M17">
        <f ca="1"/>
        <v>0.51545212067571944</v>
      </c>
      <c r="N17">
        <f ca="1"/>
        <v>0.42713121199825149</v>
      </c>
      <c r="O17">
        <f ca="1"/>
        <v>0.52092709869668574</v>
      </c>
      <c r="P17">
        <f ca="1"/>
        <v>0.65614595072337067</v>
      </c>
      <c r="Q17">
        <f ca="1"/>
        <v>0.69756891605162141</v>
      </c>
    </row>
    <row r="18" spans="4:17" x14ac:dyDescent="0.25">
      <c r="D18">
        <v>1</v>
      </c>
      <c r="E18">
        <f ca="1"/>
        <v>1</v>
      </c>
      <c r="F18">
        <f ca="1"/>
        <v>1</v>
      </c>
      <c r="G18">
        <f ca="1"/>
        <v>1</v>
      </c>
      <c r="H18">
        <f ca="1"/>
        <v>1</v>
      </c>
      <c r="I18">
        <f ca="1"/>
        <v>1</v>
      </c>
      <c r="J18">
        <f ca="1"/>
        <v>1</v>
      </c>
      <c r="K18">
        <f ca="1"/>
        <v>1</v>
      </c>
      <c r="L18">
        <f ca="1"/>
        <v>1</v>
      </c>
      <c r="M18">
        <f ca="1"/>
        <v>1</v>
      </c>
      <c r="N18">
        <f ca="1"/>
        <v>1</v>
      </c>
      <c r="O18">
        <f ca="1"/>
        <v>1</v>
      </c>
      <c r="P18">
        <f ca="1"/>
        <v>1</v>
      </c>
      <c r="Q18">
        <f ca="1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Translación</vt:lpstr>
      <vt:lpstr>Eslacación</vt:lpstr>
      <vt:lpstr>Rotación</vt:lpstr>
      <vt:lpstr>Hoja4</vt:lpstr>
      <vt:lpstr>Hoja5</vt:lpstr>
      <vt:lpstr>Hoja5 (2)</vt:lpstr>
      <vt:lpstr>Hoja1</vt:lpstr>
      <vt:lpstr>Hoja2</vt:lpstr>
      <vt:lpstr>Hoja3</vt:lpstr>
      <vt:lpstr>Hoja6</vt:lpstr>
      <vt:lpstr>Hoja7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Ángel Martínez Lorenzo</dc:creator>
  <cp:lastModifiedBy>chedraui</cp:lastModifiedBy>
  <dcterms:created xsi:type="dcterms:W3CDTF">2021-09-23T15:13:01Z</dcterms:created>
  <dcterms:modified xsi:type="dcterms:W3CDTF">2024-02-10T20:27:08Z</dcterms:modified>
</cp:coreProperties>
</file>