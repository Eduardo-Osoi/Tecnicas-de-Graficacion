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draui\Downloads\Palacios Segovia Jorge Manuel - 192H17131\Unidad II\"/>
    </mc:Choice>
  </mc:AlternateContent>
  <bookViews>
    <workbookView xWindow="0" yWindow="0" windowWidth="20490" windowHeight="7740"/>
  </bookViews>
  <sheets>
    <sheet name="Curva berneuli" sheetId="11" r:id="rId1"/>
  </sheets>
  <calcPr calcId="15251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1" l="1"/>
  <c r="B4" i="11" s="1"/>
  <c r="C1" i="11"/>
  <c r="C2" i="11" s="1"/>
  <c r="C4" i="11" s="1"/>
  <c r="C3" i="11" l="1"/>
  <c r="B3" i="11"/>
  <c r="D1" i="11"/>
  <c r="D2" i="11" l="1"/>
  <c r="D4" i="11" s="1"/>
  <c r="E1" i="11"/>
  <c r="D3" i="11" l="1"/>
  <c r="E2" i="11"/>
  <c r="E4" i="11" s="1"/>
  <c r="F1" i="11"/>
  <c r="E3" i="11" l="1"/>
  <c r="F2" i="11"/>
  <c r="F4" i="11" s="1"/>
  <c r="G1" i="11"/>
  <c r="F3" i="11" l="1"/>
  <c r="G2" i="11"/>
  <c r="G4" i="11" s="1"/>
  <c r="H1" i="11"/>
  <c r="G3" i="11" l="1"/>
  <c r="H2" i="11"/>
  <c r="H4" i="11" s="1"/>
  <c r="I1" i="11"/>
  <c r="H3" i="11" l="1"/>
  <c r="I2" i="11"/>
  <c r="I4" i="11" s="1"/>
  <c r="J1" i="11"/>
  <c r="I3" i="11" l="1"/>
  <c r="J2" i="11"/>
  <c r="J4" i="11" s="1"/>
  <c r="K1" i="11"/>
  <c r="J3" i="11" l="1"/>
  <c r="K2" i="11"/>
  <c r="K4" i="11" s="1"/>
  <c r="L1" i="11"/>
  <c r="K3" i="11" l="1"/>
  <c r="L2" i="11"/>
  <c r="L4" i="11" s="1"/>
  <c r="M1" i="11"/>
  <c r="L3" i="11" l="1"/>
  <c r="M2" i="11"/>
  <c r="M4" i="11" s="1"/>
  <c r="N1" i="11"/>
  <c r="M3" i="11" l="1"/>
  <c r="N2" i="11"/>
  <c r="N4" i="11" s="1"/>
  <c r="O1" i="11"/>
  <c r="N3" i="11" l="1"/>
  <c r="O2" i="11"/>
  <c r="O4" i="11" s="1"/>
  <c r="P1" i="11"/>
  <c r="O3" i="11" l="1"/>
  <c r="P2" i="11"/>
  <c r="P4" i="11" s="1"/>
  <c r="Q1" i="11"/>
  <c r="P3" i="11" l="1"/>
  <c r="Q2" i="11"/>
  <c r="Q4" i="11" s="1"/>
  <c r="R1" i="11"/>
  <c r="Q3" i="11" l="1"/>
  <c r="R2" i="11"/>
  <c r="R4" i="11" s="1"/>
  <c r="S1" i="11"/>
  <c r="R3" i="11" l="1"/>
  <c r="S2" i="11"/>
  <c r="S4" i="11" s="1"/>
  <c r="T1" i="11"/>
  <c r="S3" i="11" l="1"/>
  <c r="T2" i="11"/>
  <c r="T4" i="11" s="1"/>
  <c r="U1" i="11"/>
  <c r="T3" i="11" l="1"/>
  <c r="U2" i="11"/>
  <c r="U4" i="11" s="1"/>
  <c r="V1" i="11"/>
  <c r="U3" i="11" l="1"/>
  <c r="V2" i="11"/>
  <c r="V4" i="11" s="1"/>
  <c r="W1" i="11"/>
  <c r="V3" i="11" l="1"/>
  <c r="W2" i="11"/>
  <c r="W4" i="11" s="1"/>
  <c r="X1" i="11"/>
  <c r="W3" i="11" l="1"/>
  <c r="X2" i="11"/>
  <c r="X4" i="11" s="1"/>
  <c r="Y1" i="11"/>
  <c r="X3" i="11" l="1"/>
  <c r="Y2" i="11"/>
  <c r="Y4" i="11" s="1"/>
  <c r="Z1" i="11"/>
  <c r="Z2" i="11" s="1"/>
  <c r="Z4" i="11" s="1"/>
  <c r="Z3" i="11" l="1"/>
  <c r="Y3" i="11"/>
  <c r="B11" i="11"/>
  <c r="F11" i="11"/>
  <c r="H11" i="11"/>
  <c r="I11" i="11"/>
  <c r="J11" i="11"/>
  <c r="B12" i="11"/>
  <c r="F12" i="11"/>
  <c r="H12" i="11"/>
  <c r="I12" i="11"/>
  <c r="J12" i="11"/>
  <c r="B13" i="11"/>
  <c r="B14" i="11"/>
  <c r="B15" i="11"/>
  <c r="B16" i="11"/>
  <c r="B17" i="11"/>
  <c r="B19" i="11" a="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B23" i="11" a="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</calcChain>
</file>

<file path=xl/sharedStrings.xml><?xml version="1.0" encoding="utf-8"?>
<sst xmlns="http://schemas.openxmlformats.org/spreadsheetml/2006/main" count="21" uniqueCount="17">
  <si>
    <t>tx</t>
  </si>
  <si>
    <t>ty</t>
  </si>
  <si>
    <t>inc</t>
  </si>
  <si>
    <t>ang</t>
  </si>
  <si>
    <t>rad</t>
  </si>
  <si>
    <t>x´</t>
  </si>
  <si>
    <t>y´</t>
  </si>
  <si>
    <t>matriz rotacion</t>
  </si>
  <si>
    <t>x</t>
  </si>
  <si>
    <t>y</t>
  </si>
  <si>
    <t>y´´</t>
  </si>
  <si>
    <t>dx</t>
  </si>
  <si>
    <t>dy</t>
  </si>
  <si>
    <t>giro</t>
  </si>
  <si>
    <t>x´´</t>
  </si>
  <si>
    <t>matriz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</si>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</sst>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4"/>
      <color rgb="FF04394F"/>
      <name val="MJXc-TeX-math-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0" borderId="2" xfId="0" applyBorder="1"/>
    <xf numFmtId="0" fontId="0" fillId="0" borderId="0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'Curva berneuli'!$B$3:$Z$3</c:f>
              <c:numCache>
                <c:formatCode>General</c:formatCode>
                <c:ptCount val="25"/>
                <c:pt idx="0">
                  <c:v>0.5</c:v>
                </c:pt>
                <c:pt idx="1">
                  <c:v>1.1900696943310816</c:v>
                </c:pt>
                <c:pt idx="2">
                  <c:v>2.1650635094610964</c:v>
                </c:pt>
                <c:pt idx="3">
                  <c:v>1.7677669529663691</c:v>
                </c:pt>
                <c:pt idx="4">
                  <c:v>0.25000000000000089</c:v>
                </c:pt>
                <c:pt idx="5">
                  <c:v>-0.57769725863528709</c:v>
                </c:pt>
                <c:pt idx="6">
                  <c:v>-2.144009796090085E-16</c:v>
                </c:pt>
                <c:pt idx="7">
                  <c:v>0.57769725863528709</c:v>
                </c:pt>
                <c:pt idx="8">
                  <c:v>-0.24999999999999833</c:v>
                </c:pt>
                <c:pt idx="9">
                  <c:v>-1.7677669529663678</c:v>
                </c:pt>
                <c:pt idx="10">
                  <c:v>-2.1650635094610964</c:v>
                </c:pt>
                <c:pt idx="11">
                  <c:v>-1.1900696943310825</c:v>
                </c:pt>
                <c:pt idx="12">
                  <c:v>-0.5</c:v>
                </c:pt>
                <c:pt idx="13">
                  <c:v>-1.1900696943310813</c:v>
                </c:pt>
                <c:pt idx="14">
                  <c:v>-2.1650635094610964</c:v>
                </c:pt>
                <c:pt idx="15">
                  <c:v>-1.7677669529663689</c:v>
                </c:pt>
                <c:pt idx="16">
                  <c:v>-0.25000000000000344</c:v>
                </c:pt>
                <c:pt idx="17">
                  <c:v>0.57769725863528709</c:v>
                </c:pt>
                <c:pt idx="18">
                  <c:v>2.419559778227276E-15</c:v>
                </c:pt>
                <c:pt idx="19">
                  <c:v>-0.5776972586352872</c:v>
                </c:pt>
                <c:pt idx="20">
                  <c:v>0.25000000000000139</c:v>
                </c:pt>
                <c:pt idx="21">
                  <c:v>1.7677669529663671</c:v>
                </c:pt>
                <c:pt idx="22">
                  <c:v>2.1650635094610973</c:v>
                </c:pt>
                <c:pt idx="23">
                  <c:v>1.1900696943310831</c:v>
                </c:pt>
                <c:pt idx="24">
                  <c:v>0.5</c:v>
                </c:pt>
              </c:numCache>
            </c:numRef>
          </c:xVal>
          <c:yVal>
            <c:numRef>
              <c:f>'Curva berneuli'!$B$4:$Z$4</c:f>
              <c:numCache>
                <c:formatCode>General</c:formatCode>
                <c:ptCount val="25"/>
                <c:pt idx="0">
                  <c:v>0</c:v>
                </c:pt>
                <c:pt idx="1">
                  <c:v>-0.31887821353276635</c:v>
                </c:pt>
                <c:pt idx="2">
                  <c:v>-0.25000000000000011</c:v>
                </c:pt>
                <c:pt idx="3">
                  <c:v>0.35355339059327362</c:v>
                </c:pt>
                <c:pt idx="4">
                  <c:v>1.2990381056766578</c:v>
                </c:pt>
                <c:pt idx="5">
                  <c:v>2.15599552062015</c:v>
                </c:pt>
                <c:pt idx="6">
                  <c:v>2.5</c:v>
                </c:pt>
                <c:pt idx="7">
                  <c:v>2.1559955206201495</c:v>
                </c:pt>
                <c:pt idx="8">
                  <c:v>1.2990381056766582</c:v>
                </c:pt>
                <c:pt idx="9">
                  <c:v>0.35355339059327406</c:v>
                </c:pt>
                <c:pt idx="10">
                  <c:v>-0.25000000000000011</c:v>
                </c:pt>
                <c:pt idx="11">
                  <c:v>-0.3188782135327668</c:v>
                </c:pt>
                <c:pt idx="12">
                  <c:v>-1.83772268236293E-16</c:v>
                </c:pt>
                <c:pt idx="13">
                  <c:v>0.31887821353276669</c:v>
                </c:pt>
                <c:pt idx="14">
                  <c:v>0.24999999999999978</c:v>
                </c:pt>
                <c:pt idx="15">
                  <c:v>-0.35355339059327273</c:v>
                </c:pt>
                <c:pt idx="16">
                  <c:v>-1.2990381056766571</c:v>
                </c:pt>
                <c:pt idx="17">
                  <c:v>-2.1559955206201504</c:v>
                </c:pt>
                <c:pt idx="18">
                  <c:v>-2.5</c:v>
                </c:pt>
                <c:pt idx="19">
                  <c:v>-2.1559955206201513</c:v>
                </c:pt>
                <c:pt idx="20">
                  <c:v>-1.2990381056766587</c:v>
                </c:pt>
                <c:pt idx="21">
                  <c:v>-0.35355339059327373</c:v>
                </c:pt>
                <c:pt idx="22">
                  <c:v>0.24999999999999933</c:v>
                </c:pt>
                <c:pt idx="23">
                  <c:v>0.31887821353276513</c:v>
                </c:pt>
                <c:pt idx="24">
                  <c:v>3.67544536472586E-16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796-4402-99E2-10C6573FBB6F}"/>
            </c:ext>
          </c:extLst>
        </c:ser>
        <c:ser>
          <c:idx val="1"/>
          <c:order val="1"/>
          <c:spPr>
            <a:ln w="41275" cap="sq" cmpd="thinThick">
              <a:solidFill>
                <a:schemeClr val="accent2">
                  <a:shade val="95000"/>
                  <a:satMod val="105000"/>
                </a:schemeClr>
              </a:solidFill>
              <a:bevel/>
              <a:tailEnd w="sm" len="sm"/>
            </a:ln>
          </c:spPr>
          <c:marker>
            <c:symbol val="none"/>
          </c:marker>
          <c:xVal>
            <c:numRef>
              <c:f>'Curva berneuli'!$B$23:$N$23</c:f>
              <c:numCache>
                <c:formatCode>General</c:formatCode>
                <c:ptCount val="13"/>
                <c:pt idx="0">
                  <c:v>1.1510744115178166</c:v>
                </c:pt>
                <c:pt idx="1">
                  <c:v>1.1211354407154217</c:v>
                </c:pt>
                <c:pt idx="2">
                  <c:v>0.92338899187930901</c:v>
                </c:pt>
                <c:pt idx="3">
                  <c:v>0.80954628206005519</c:v>
                </c:pt>
                <c:pt idx="4">
                  <c:v>0.89345002107691407</c:v>
                </c:pt>
                <c:pt idx="5">
                  <c:v>1.0911964699130268</c:v>
                </c:pt>
                <c:pt idx="6">
                  <c:v>1.2889429187491395</c:v>
                </c:pt>
                <c:pt idx="7">
                  <c:v>1.4866893675852522</c:v>
                </c:pt>
                <c:pt idx="8">
                  <c:v>1.600532077404506</c:v>
                </c:pt>
                <c:pt idx="9">
                  <c:v>1.5166283383876471</c:v>
                </c:pt>
                <c:pt idx="10">
                  <c:v>1.3188818895515344</c:v>
                </c:pt>
                <c:pt idx="11">
                  <c:v>1.3488208603539293</c:v>
                </c:pt>
                <c:pt idx="12">
                  <c:v>1.1510744115178166</c:v>
                </c:pt>
              </c:numCache>
            </c:numRef>
          </c:xVal>
          <c:yVal>
            <c:numRef>
              <c:f>'Curva berneuli'!$B$24:$N$24</c:f>
              <c:numCache>
                <c:formatCode>General</c:formatCode>
                <c:ptCount val="13"/>
                <c:pt idx="0">
                  <c:v>-9.1584169540657789E-2</c:v>
                </c:pt>
                <c:pt idx="1">
                  <c:v>0.10616227929545494</c:v>
                </c:pt>
                <c:pt idx="2">
                  <c:v>7.6223308493060027E-2</c:v>
                </c:pt>
                <c:pt idx="3">
                  <c:v>0.16012704750991891</c:v>
                </c:pt>
                <c:pt idx="4">
                  <c:v>0.27396975732917273</c:v>
                </c:pt>
                <c:pt idx="5">
                  <c:v>0.30390872813156766</c:v>
                </c:pt>
                <c:pt idx="6">
                  <c:v>0.3338476989339626</c:v>
                </c:pt>
                <c:pt idx="7">
                  <c:v>0.36378666973635754</c:v>
                </c:pt>
                <c:pt idx="8">
                  <c:v>0.2798829307194986</c:v>
                </c:pt>
                <c:pt idx="9">
                  <c:v>0.16604022090024478</c:v>
                </c:pt>
                <c:pt idx="10">
                  <c:v>0.13610125009784987</c:v>
                </c:pt>
                <c:pt idx="11">
                  <c:v>-6.1645198738262852E-2</c:v>
                </c:pt>
                <c:pt idx="12">
                  <c:v>-9.1584169540657789E-2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796-4402-99E2-10C6573FB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657440"/>
        <c:axId val="271657048"/>
      </c:scatterChart>
      <c:valAx>
        <c:axId val="27165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1657048"/>
        <c:crosses val="autoZero"/>
        <c:crossBetween val="midCat"/>
      </c:valAx>
      <c:valAx>
        <c:axId val="271657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1657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135099</xdr:colOff>
      <xdr:row>6</xdr:row>
      <xdr:rowOff>145791</xdr:rowOff>
    </xdr:from>
    <xdr:to>
      <xdr:col>28</xdr:col>
      <xdr:colOff>388775</xdr:colOff>
      <xdr:row>29</xdr:row>
      <xdr:rowOff>204107</xdr:rowOff>
    </xdr:to>
    <xdr:graphicFrame macro="">
      <xdr:nvGraphicFramePr>
        <xdr:cNvPr id="2" name="1 Gráfico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tabSelected="1" topLeftCell="A9" zoomScale="98" zoomScaleNormal="98" workbookViewId="0">
      <selection activeCell="AD39" sqref="AD39"/>
    </sheetView>
  </sheetViews>
  <sheetFormatPr baseColWidth="10" defaultRowHeight="15"/>
  <cols>
    <col min="1" max="26" width="5.7109375" customWidth="1"/>
  </cols>
  <sheetData>
    <row r="1" spans="1:26">
      <c r="A1" s="2" t="s">
        <v>3</v>
      </c>
      <c r="B1" s="1">
        <v>0</v>
      </c>
      <c r="C1" s="1">
        <f>B1+15</f>
        <v>15</v>
      </c>
      <c r="D1" s="1">
        <f t="shared" ref="D1:Z1" si="0">C1+15</f>
        <v>30</v>
      </c>
      <c r="E1" s="1">
        <f t="shared" si="0"/>
        <v>45</v>
      </c>
      <c r="F1" s="1">
        <f t="shared" si="0"/>
        <v>60</v>
      </c>
      <c r="G1" s="1">
        <f t="shared" si="0"/>
        <v>75</v>
      </c>
      <c r="H1" s="1">
        <f t="shared" si="0"/>
        <v>90</v>
      </c>
      <c r="I1" s="1">
        <f t="shared" si="0"/>
        <v>105</v>
      </c>
      <c r="J1" s="1">
        <f t="shared" si="0"/>
        <v>120</v>
      </c>
      <c r="K1" s="1">
        <f t="shared" si="0"/>
        <v>135</v>
      </c>
      <c r="L1" s="1">
        <f t="shared" si="0"/>
        <v>150</v>
      </c>
      <c r="M1" s="1">
        <f t="shared" si="0"/>
        <v>165</v>
      </c>
      <c r="N1" s="1">
        <f t="shared" si="0"/>
        <v>180</v>
      </c>
      <c r="O1" s="1">
        <f t="shared" si="0"/>
        <v>195</v>
      </c>
      <c r="P1" s="1">
        <f t="shared" si="0"/>
        <v>210</v>
      </c>
      <c r="Q1" s="1">
        <f t="shared" si="0"/>
        <v>225</v>
      </c>
      <c r="R1" s="1">
        <f t="shared" si="0"/>
        <v>240</v>
      </c>
      <c r="S1" s="1">
        <f t="shared" si="0"/>
        <v>255</v>
      </c>
      <c r="T1" s="1">
        <f t="shared" si="0"/>
        <v>270</v>
      </c>
      <c r="U1" s="1">
        <f t="shared" si="0"/>
        <v>285</v>
      </c>
      <c r="V1" s="1">
        <f t="shared" si="0"/>
        <v>300</v>
      </c>
      <c r="W1" s="1">
        <f t="shared" si="0"/>
        <v>315</v>
      </c>
      <c r="X1" s="1">
        <f t="shared" si="0"/>
        <v>330</v>
      </c>
      <c r="Y1" s="1">
        <f t="shared" si="0"/>
        <v>345</v>
      </c>
      <c r="Z1" s="1">
        <f t="shared" si="0"/>
        <v>360</v>
      </c>
    </row>
    <row r="2" spans="1:26">
      <c r="A2" s="2" t="s">
        <v>4</v>
      </c>
      <c r="B2" s="1">
        <f>RADIANS(B1)</f>
        <v>0</v>
      </c>
      <c r="C2" s="1">
        <f>RADIANS(C1)</f>
        <v>0.26179938779914941</v>
      </c>
      <c r="D2" s="1">
        <f t="shared" ref="D2:Z2" si="1">RADIANS(D1)</f>
        <v>0.52359877559829882</v>
      </c>
      <c r="E2" s="1">
        <f t="shared" si="1"/>
        <v>0.78539816339744828</v>
      </c>
      <c r="F2" s="1">
        <f t="shared" si="1"/>
        <v>1.0471975511965976</v>
      </c>
      <c r="G2" s="1">
        <f t="shared" si="1"/>
        <v>1.3089969389957472</v>
      </c>
      <c r="H2" s="1">
        <f t="shared" si="1"/>
        <v>1.5707963267948966</v>
      </c>
      <c r="I2" s="1">
        <f t="shared" si="1"/>
        <v>1.8325957145940461</v>
      </c>
      <c r="J2" s="1">
        <f t="shared" si="1"/>
        <v>2.0943951023931953</v>
      </c>
      <c r="K2" s="1">
        <f t="shared" si="1"/>
        <v>2.3561944901923448</v>
      </c>
      <c r="L2" s="1">
        <f t="shared" si="1"/>
        <v>2.6179938779914944</v>
      </c>
      <c r="M2" s="1">
        <f t="shared" si="1"/>
        <v>2.8797932657906435</v>
      </c>
      <c r="N2" s="1">
        <f t="shared" si="1"/>
        <v>3.1415926535897931</v>
      </c>
      <c r="O2" s="1">
        <f t="shared" si="1"/>
        <v>3.4033920413889427</v>
      </c>
      <c r="P2" s="1">
        <f t="shared" si="1"/>
        <v>3.6651914291880923</v>
      </c>
      <c r="Q2" s="1">
        <f t="shared" si="1"/>
        <v>3.9269908169872414</v>
      </c>
      <c r="R2" s="1">
        <f t="shared" si="1"/>
        <v>4.1887902047863905</v>
      </c>
      <c r="S2" s="1">
        <f t="shared" si="1"/>
        <v>4.4505895925855405</v>
      </c>
      <c r="T2" s="1">
        <f t="shared" si="1"/>
        <v>4.7123889803846897</v>
      </c>
      <c r="U2" s="1">
        <f t="shared" si="1"/>
        <v>4.9741883681838388</v>
      </c>
      <c r="V2" s="1">
        <f t="shared" si="1"/>
        <v>5.2359877559829888</v>
      </c>
      <c r="W2" s="1">
        <f t="shared" si="1"/>
        <v>5.497787143782138</v>
      </c>
      <c r="X2" s="1">
        <f t="shared" si="1"/>
        <v>5.7595865315812871</v>
      </c>
      <c r="Y2" s="1">
        <f t="shared" si="1"/>
        <v>6.0213859193804371</v>
      </c>
      <c r="Z2" s="1">
        <f t="shared" si="1"/>
        <v>6.2831853071795862</v>
      </c>
    </row>
    <row r="3" spans="1:26">
      <c r="A3" s="2" t="s">
        <v>8</v>
      </c>
      <c r="B3" s="1">
        <f>1.5*COS(B2)-COS(5*B2)</f>
        <v>0.5</v>
      </c>
      <c r="C3" s="1">
        <f t="shared" ref="C3:Z3" si="2">1.5*COS(C2)-COS(5*C2)</f>
        <v>1.1900696943310816</v>
      </c>
      <c r="D3" s="1">
        <f t="shared" si="2"/>
        <v>2.1650635094610964</v>
      </c>
      <c r="E3" s="1">
        <f t="shared" si="2"/>
        <v>1.7677669529663691</v>
      </c>
      <c r="F3" s="1">
        <f t="shared" si="2"/>
        <v>0.25000000000000089</v>
      </c>
      <c r="G3" s="1">
        <f t="shared" si="2"/>
        <v>-0.57769725863528709</v>
      </c>
      <c r="H3" s="1">
        <f t="shared" si="2"/>
        <v>-2.144009796090085E-16</v>
      </c>
      <c r="I3" s="1">
        <f t="shared" si="2"/>
        <v>0.57769725863528709</v>
      </c>
      <c r="J3" s="1">
        <f t="shared" si="2"/>
        <v>-0.24999999999999833</v>
      </c>
      <c r="K3" s="1">
        <f t="shared" si="2"/>
        <v>-1.7677669529663678</v>
      </c>
      <c r="L3" s="1">
        <f t="shared" si="2"/>
        <v>-2.1650635094610964</v>
      </c>
      <c r="M3" s="1">
        <f t="shared" si="2"/>
        <v>-1.1900696943310825</v>
      </c>
      <c r="N3" s="1">
        <f t="shared" si="2"/>
        <v>-0.5</v>
      </c>
      <c r="O3" s="1">
        <f t="shared" si="2"/>
        <v>-1.1900696943310813</v>
      </c>
      <c r="P3" s="1">
        <f t="shared" si="2"/>
        <v>-2.1650635094610964</v>
      </c>
      <c r="Q3" s="1">
        <f t="shared" si="2"/>
        <v>-1.7677669529663689</v>
      </c>
      <c r="R3" s="1">
        <f t="shared" si="2"/>
        <v>-0.25000000000000344</v>
      </c>
      <c r="S3" s="1">
        <f t="shared" si="2"/>
        <v>0.57769725863528709</v>
      </c>
      <c r="T3" s="1">
        <f t="shared" si="2"/>
        <v>2.419559778227276E-15</v>
      </c>
      <c r="U3" s="1">
        <f t="shared" si="2"/>
        <v>-0.5776972586352872</v>
      </c>
      <c r="V3" s="1">
        <f t="shared" si="2"/>
        <v>0.25000000000000139</v>
      </c>
      <c r="W3" s="1">
        <f t="shared" si="2"/>
        <v>1.7677669529663671</v>
      </c>
      <c r="X3" s="1">
        <f t="shared" si="2"/>
        <v>2.1650635094610973</v>
      </c>
      <c r="Y3" s="1">
        <f t="shared" si="2"/>
        <v>1.1900696943310831</v>
      </c>
      <c r="Z3" s="1">
        <f t="shared" si="2"/>
        <v>0.5</v>
      </c>
    </row>
    <row r="4" spans="1:26">
      <c r="A4" s="2" t="s">
        <v>9</v>
      </c>
      <c r="B4" s="1">
        <f>1.5*SIN(B2)-SIN(3*B2)</f>
        <v>0</v>
      </c>
      <c r="C4" s="1">
        <f t="shared" ref="C4:Z4" si="3">1.5*SIN(C2)-SIN(3*C2)</f>
        <v>-0.31887821353276635</v>
      </c>
      <c r="D4" s="1">
        <f t="shared" si="3"/>
        <v>-0.25000000000000011</v>
      </c>
      <c r="E4" s="1">
        <f t="shared" si="3"/>
        <v>0.35355339059327362</v>
      </c>
      <c r="F4" s="1">
        <f t="shared" si="3"/>
        <v>1.2990381056766578</v>
      </c>
      <c r="G4" s="1">
        <f t="shared" si="3"/>
        <v>2.15599552062015</v>
      </c>
      <c r="H4" s="1">
        <f t="shared" si="3"/>
        <v>2.5</v>
      </c>
      <c r="I4" s="1">
        <f t="shared" si="3"/>
        <v>2.1559955206201495</v>
      </c>
      <c r="J4" s="1">
        <f t="shared" si="3"/>
        <v>1.2990381056766582</v>
      </c>
      <c r="K4" s="1">
        <f t="shared" si="3"/>
        <v>0.35355339059327406</v>
      </c>
      <c r="L4" s="1">
        <f t="shared" si="3"/>
        <v>-0.25000000000000011</v>
      </c>
      <c r="M4" s="1">
        <f t="shared" si="3"/>
        <v>-0.3188782135327668</v>
      </c>
      <c r="N4" s="1">
        <f t="shared" si="3"/>
        <v>-1.83772268236293E-16</v>
      </c>
      <c r="O4" s="1">
        <f t="shared" si="3"/>
        <v>0.31887821353276669</v>
      </c>
      <c r="P4" s="1">
        <f t="shared" si="3"/>
        <v>0.24999999999999978</v>
      </c>
      <c r="Q4" s="1">
        <f t="shared" si="3"/>
        <v>-0.35355339059327273</v>
      </c>
      <c r="R4" s="1">
        <f t="shared" si="3"/>
        <v>-1.2990381056766571</v>
      </c>
      <c r="S4" s="1">
        <f t="shared" si="3"/>
        <v>-2.1559955206201504</v>
      </c>
      <c r="T4" s="1">
        <f t="shared" si="3"/>
        <v>-2.5</v>
      </c>
      <c r="U4" s="1">
        <f t="shared" si="3"/>
        <v>-2.1559955206201513</v>
      </c>
      <c r="V4" s="1">
        <f t="shared" si="3"/>
        <v>-1.2990381056766587</v>
      </c>
      <c r="W4" s="1">
        <f t="shared" si="3"/>
        <v>-0.35355339059327373</v>
      </c>
      <c r="X4" s="1">
        <f t="shared" si="3"/>
        <v>0.24999999999999933</v>
      </c>
      <c r="Y4" s="1">
        <f t="shared" si="3"/>
        <v>0.31887821353276513</v>
      </c>
      <c r="Z4" s="1">
        <f t="shared" si="3"/>
        <v>3.67544536472586E-16</v>
      </c>
    </row>
    <row r="6" spans="1:26">
      <c r="A6" s="2" t="s">
        <v>8</v>
      </c>
      <c r="B6" s="1">
        <v>0.1</v>
      </c>
      <c r="C6" s="1">
        <v>0.1</v>
      </c>
      <c r="D6" s="1">
        <v>0.3</v>
      </c>
      <c r="E6" s="1">
        <v>0.4</v>
      </c>
      <c r="F6" s="1">
        <v>0.3</v>
      </c>
      <c r="G6" s="1">
        <v>0.1</v>
      </c>
      <c r="H6" s="1">
        <v>-0.1</v>
      </c>
      <c r="I6" s="1">
        <v>-0.3</v>
      </c>
      <c r="J6" s="1">
        <v>-0.4</v>
      </c>
      <c r="K6" s="1">
        <v>-0.3</v>
      </c>
      <c r="L6" s="1">
        <v>-0.1</v>
      </c>
      <c r="M6" s="1">
        <v>-0.1</v>
      </c>
      <c r="N6" s="1">
        <v>0.1</v>
      </c>
    </row>
    <row r="7" spans="1:26">
      <c r="A7" s="2" t="s">
        <v>9</v>
      </c>
      <c r="B7" s="4">
        <v>0.4</v>
      </c>
      <c r="C7" s="1">
        <v>0.2</v>
      </c>
      <c r="D7" s="1">
        <v>0.2</v>
      </c>
      <c r="E7" s="1">
        <v>0.1</v>
      </c>
      <c r="F7" s="1">
        <v>0</v>
      </c>
      <c r="G7" s="1">
        <v>0</v>
      </c>
      <c r="H7" s="1">
        <v>0</v>
      </c>
      <c r="I7" s="1">
        <v>0</v>
      </c>
      <c r="J7" s="1">
        <v>0.1</v>
      </c>
      <c r="K7" s="1">
        <v>0.2</v>
      </c>
      <c r="L7" s="1">
        <v>0.2</v>
      </c>
      <c r="M7" s="1">
        <v>0.4</v>
      </c>
      <c r="N7" s="1">
        <v>0.4</v>
      </c>
    </row>
    <row r="8" spans="1:26">
      <c r="A8" s="2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5"/>
    </row>
    <row r="10" spans="1:26">
      <c r="A10" s="2" t="s">
        <v>2</v>
      </c>
      <c r="B10" s="1">
        <v>5</v>
      </c>
      <c r="D10" s="6" t="s">
        <v>15</v>
      </c>
      <c r="E10" s="6"/>
      <c r="F10" s="6"/>
      <c r="H10" s="6" t="s">
        <v>7</v>
      </c>
      <c r="I10" s="6"/>
      <c r="J10" s="6"/>
    </row>
    <row r="11" spans="1:26">
      <c r="A11" s="2" t="s">
        <v>3</v>
      </c>
      <c r="B11" s="1">
        <f ca="1">MOD(B10+B11,360)</f>
        <v>350</v>
      </c>
      <c r="D11" s="1">
        <v>1</v>
      </c>
      <c r="E11" s="1">
        <v>0</v>
      </c>
      <c r="F11" s="1">
        <f ca="1">B13</f>
        <v>1.1900696943310831</v>
      </c>
      <c r="H11" s="1">
        <f ca="1">COS(B17)</f>
        <v>-0.9887322441805636</v>
      </c>
      <c r="I11" s="1">
        <f ca="1">-SIN(B17)</f>
        <v>0.1496948540119746</v>
      </c>
      <c r="J11" s="1">
        <f ca="1">B13</f>
        <v>1.1900696943310831</v>
      </c>
    </row>
    <row r="12" spans="1:26">
      <c r="A12" s="2" t="s">
        <v>4</v>
      </c>
      <c r="B12" s="1">
        <f ca="1">RADIANS(B11)</f>
        <v>6.1086523819801535</v>
      </c>
      <c r="D12" s="1">
        <v>0</v>
      </c>
      <c r="E12" s="1">
        <v>1</v>
      </c>
      <c r="F12" s="1">
        <f ca="1">B14</f>
        <v>0.31887821353276513</v>
      </c>
      <c r="H12" s="1">
        <f ca="1">SIN(B17)</f>
        <v>-0.1496948540119746</v>
      </c>
      <c r="I12" s="1">
        <f ca="1">COS(B17)</f>
        <v>-0.9887322441805636</v>
      </c>
      <c r="J12" s="1">
        <f ca="1">B14</f>
        <v>0.31887821353276513</v>
      </c>
    </row>
    <row r="13" spans="1:26">
      <c r="A13" s="2" t="s">
        <v>0</v>
      </c>
      <c r="B13" s="1">
        <f ca="1">1.5*COS(B12)-COS(5*B12)</f>
        <v>0.83442401983177283</v>
      </c>
      <c r="D13" s="1">
        <v>0</v>
      </c>
      <c r="E13" s="1">
        <v>0</v>
      </c>
      <c r="F13" s="1">
        <v>1</v>
      </c>
      <c r="H13" s="1">
        <v>0</v>
      </c>
      <c r="I13" s="1">
        <v>0</v>
      </c>
      <c r="J13" s="1">
        <v>1</v>
      </c>
    </row>
    <row r="14" spans="1:26">
      <c r="A14" s="2" t="s">
        <v>1</v>
      </c>
      <c r="B14" s="1">
        <f ca="1">1.5*SIN(B12)-SIN(3*B12)</f>
        <v>0.23952773349960454</v>
      </c>
    </row>
    <row r="15" spans="1:26">
      <c r="A15" s="2" t="s">
        <v>11</v>
      </c>
      <c r="B15" s="1">
        <f ca="1">5*SIN(5*B12)-1.5*SIN(B12)</f>
        <v>-3.5697499490944948</v>
      </c>
    </row>
    <row r="16" spans="1:26">
      <c r="A16" s="2" t="s">
        <v>12</v>
      </c>
      <c r="B16" s="1">
        <f ca="1">1.5*COS(B12)-3*COS(3*B12)</f>
        <v>-1.120864581835004</v>
      </c>
    </row>
    <row r="17" spans="1:30">
      <c r="A17" s="2" t="s">
        <v>13</v>
      </c>
      <c r="B17" s="1">
        <f ca="1">ATAN2(B15,B16)</f>
        <v>-2.8373512310892264</v>
      </c>
    </row>
    <row r="19" spans="1:30">
      <c r="A19" s="2" t="s">
        <v>5</v>
      </c>
      <c r="B19" s="1">
        <f t="array" aca="1" ref="B19:N21" ca="1">MMULT(D11:F13,B6:N8)</f>
        <v>1.2900696943310832</v>
      </c>
      <c r="C19" s="1">
        <f ca="1"/>
        <v>1.2900696943310832</v>
      </c>
      <c r="D19" s="1">
        <f ca="1"/>
        <v>1.4900696943310832</v>
      </c>
      <c r="E19" s="1">
        <f ca="1"/>
        <v>1.590069694331083</v>
      </c>
      <c r="F19" s="1">
        <f ca="1"/>
        <v>1.4900696943310832</v>
      </c>
      <c r="G19" s="1">
        <f ca="1"/>
        <v>1.2900696943310832</v>
      </c>
      <c r="H19" s="1">
        <f ca="1"/>
        <v>1.090069694331083</v>
      </c>
      <c r="I19" s="1">
        <f ca="1"/>
        <v>0.89006969433108307</v>
      </c>
      <c r="J19" s="1">
        <f ca="1"/>
        <v>0.79006969433108309</v>
      </c>
      <c r="K19" s="1">
        <f ca="1"/>
        <v>0.89006969433108307</v>
      </c>
      <c r="L19" s="1">
        <f ca="1"/>
        <v>1.090069694331083</v>
      </c>
      <c r="M19" s="1">
        <f ca="1"/>
        <v>1.090069694331083</v>
      </c>
      <c r="N19" s="1">
        <f ca="1"/>
        <v>1.2900696943310832</v>
      </c>
    </row>
    <row r="20" spans="1:30">
      <c r="A20" s="2" t="s">
        <v>6</v>
      </c>
      <c r="B20" s="1">
        <f ca="1"/>
        <v>0.71887821353276515</v>
      </c>
      <c r="C20" s="1">
        <f ca="1"/>
        <v>0.5188782135327652</v>
      </c>
      <c r="D20" s="1">
        <f ca="1"/>
        <v>0.5188782135327652</v>
      </c>
      <c r="E20" s="1">
        <f ca="1"/>
        <v>0.41887821353276511</v>
      </c>
      <c r="F20" s="1">
        <f ca="1"/>
        <v>0.31887821353276513</v>
      </c>
      <c r="G20" s="1">
        <f ca="1"/>
        <v>0.31887821353276513</v>
      </c>
      <c r="H20" s="1">
        <f ca="1"/>
        <v>0.31887821353276513</v>
      </c>
      <c r="I20" s="1">
        <f ca="1"/>
        <v>0.31887821353276513</v>
      </c>
      <c r="J20" s="1">
        <f ca="1"/>
        <v>0.41887821353276511</v>
      </c>
      <c r="K20" s="1">
        <f ca="1"/>
        <v>0.5188782135327652</v>
      </c>
      <c r="L20" s="1">
        <f ca="1"/>
        <v>0.5188782135327652</v>
      </c>
      <c r="M20" s="1">
        <f ca="1"/>
        <v>0.71887821353276515</v>
      </c>
      <c r="N20" s="1">
        <f ca="1"/>
        <v>0.71887821353276515</v>
      </c>
    </row>
    <row r="21" spans="1:30">
      <c r="A21" s="2">
        <v>1</v>
      </c>
      <c r="B21" s="1">
        <f ca="1"/>
        <v>1</v>
      </c>
      <c r="C21" s="1">
        <f ca="1"/>
        <v>1</v>
      </c>
      <c r="D21" s="1">
        <f ca="1"/>
        <v>1</v>
      </c>
      <c r="E21" s="1">
        <f ca="1"/>
        <v>1</v>
      </c>
      <c r="F21" s="1">
        <f ca="1"/>
        <v>1</v>
      </c>
      <c r="G21" s="1">
        <f ca="1"/>
        <v>1</v>
      </c>
      <c r="H21" s="1">
        <f ca="1"/>
        <v>1</v>
      </c>
      <c r="I21" s="1">
        <f ca="1"/>
        <v>1</v>
      </c>
      <c r="J21" s="1">
        <f ca="1"/>
        <v>1</v>
      </c>
      <c r="K21" s="1">
        <f ca="1"/>
        <v>1</v>
      </c>
      <c r="L21" s="1">
        <f ca="1"/>
        <v>1</v>
      </c>
      <c r="M21" s="1">
        <f ca="1"/>
        <v>1</v>
      </c>
      <c r="N21" s="1">
        <f ca="1"/>
        <v>1</v>
      </c>
    </row>
    <row r="23" spans="1:30">
      <c r="A23" s="2" t="s">
        <v>14</v>
      </c>
      <c r="B23" s="1">
        <f t="array" aca="1" ref="B23:N25" ca="1">MMULT(H11:J13,B6:N8)</f>
        <v>1.1510744115178166</v>
      </c>
      <c r="C23" s="1">
        <f ca="1"/>
        <v>1.1211354407154217</v>
      </c>
      <c r="D23" s="1">
        <f ca="1"/>
        <v>0.92338899187930901</v>
      </c>
      <c r="E23" s="1">
        <f ca="1"/>
        <v>0.80954628206005519</v>
      </c>
      <c r="F23" s="1">
        <f ca="1"/>
        <v>0.89345002107691407</v>
      </c>
      <c r="G23" s="1">
        <f ca="1"/>
        <v>1.0911964699130268</v>
      </c>
      <c r="H23" s="1">
        <f ca="1"/>
        <v>1.2889429187491395</v>
      </c>
      <c r="I23" s="1">
        <f ca="1"/>
        <v>1.4866893675852522</v>
      </c>
      <c r="J23" s="1">
        <f ca="1"/>
        <v>1.600532077404506</v>
      </c>
      <c r="K23" s="1">
        <f ca="1"/>
        <v>1.5166283383876471</v>
      </c>
      <c r="L23" s="1">
        <f ca="1"/>
        <v>1.3188818895515344</v>
      </c>
      <c r="M23" s="1">
        <f ca="1"/>
        <v>1.3488208603539293</v>
      </c>
      <c r="N23" s="1">
        <f ca="1"/>
        <v>1.1510744115178166</v>
      </c>
      <c r="AD23" t="s">
        <v>16</v>
      </c>
    </row>
    <row r="24" spans="1:30">
      <c r="A24" s="2" t="s">
        <v>10</v>
      </c>
      <c r="B24" s="1">
        <f ca="1"/>
        <v>-9.1584169540657789E-2</v>
      </c>
      <c r="C24" s="1">
        <f ca="1"/>
        <v>0.10616227929545494</v>
      </c>
      <c r="D24" s="1">
        <f ca="1"/>
        <v>7.6223308493060027E-2</v>
      </c>
      <c r="E24" s="1">
        <f ca="1"/>
        <v>0.16012704750991891</v>
      </c>
      <c r="F24" s="1">
        <f ca="1"/>
        <v>0.27396975732917273</v>
      </c>
      <c r="G24" s="1">
        <f ca="1"/>
        <v>0.30390872813156766</v>
      </c>
      <c r="H24" s="1">
        <f ca="1"/>
        <v>0.3338476989339626</v>
      </c>
      <c r="I24" s="1">
        <f ca="1"/>
        <v>0.36378666973635754</v>
      </c>
      <c r="J24" s="1">
        <f ca="1"/>
        <v>0.2798829307194986</v>
      </c>
      <c r="K24" s="1">
        <f ca="1"/>
        <v>0.16604022090024478</v>
      </c>
      <c r="L24" s="1">
        <f ca="1"/>
        <v>0.13610125009784987</v>
      </c>
      <c r="M24" s="1">
        <f ca="1"/>
        <v>-6.1645198738262852E-2</v>
      </c>
      <c r="N24" s="1">
        <f ca="1"/>
        <v>-9.1584169540657789E-2</v>
      </c>
    </row>
    <row r="25" spans="1:30">
      <c r="A25" s="2">
        <v>1</v>
      </c>
      <c r="B25" s="1">
        <f ca="1"/>
        <v>1</v>
      </c>
      <c r="C25" s="1">
        <f ca="1"/>
        <v>1</v>
      </c>
      <c r="D25" s="1">
        <f ca="1"/>
        <v>1</v>
      </c>
      <c r="E25" s="1">
        <f ca="1"/>
        <v>1</v>
      </c>
      <c r="F25" s="1">
        <f ca="1"/>
        <v>1</v>
      </c>
      <c r="G25" s="1">
        <f ca="1"/>
        <v>1</v>
      </c>
      <c r="H25" s="1">
        <f ca="1"/>
        <v>1</v>
      </c>
      <c r="I25" s="1">
        <f ca="1"/>
        <v>1</v>
      </c>
      <c r="J25" s="1">
        <f ca="1"/>
        <v>1</v>
      </c>
      <c r="K25" s="1">
        <f ca="1"/>
        <v>1</v>
      </c>
      <c r="L25" s="1">
        <f ca="1"/>
        <v>1</v>
      </c>
      <c r="M25" s="1">
        <f ca="1"/>
        <v>1</v>
      </c>
      <c r="N25" s="1">
        <f ca="1"/>
        <v>1</v>
      </c>
    </row>
    <row r="30" spans="1:30" ht="18">
      <c r="T30" s="3"/>
    </row>
    <row r="32" spans="1:30" ht="18">
      <c r="T32" s="3"/>
    </row>
  </sheetData>
  <mergeCells count="2">
    <mergeCell ref="D10:F10"/>
    <mergeCell ref="H10:J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Curva berneuli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soporte; 192H17131 JORGE MANUEL PALACIOS SEGOVIA</dc:creator>
  <cp:lastModifiedBy>chedraui</cp:lastModifiedBy>
  <dcterms:created xsi:type="dcterms:W3CDTF">2022-03-03T16:02:21Z</dcterms:created>
  <dcterms:modified xsi:type="dcterms:W3CDTF">2024-04-01T19:36:57Z</dcterms:modified>
</cp:coreProperties>
</file>